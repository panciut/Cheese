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ugenio\_C3A\_06 - RICERCA\_b_ Progetti in corso\2024 -  studenti data analysis\2024 - captioning risultati grana Trentino\GT commenti liberi\"/>
    </mc:Choice>
  </mc:AlternateContent>
  <xr:revisionPtr revIDLastSave="0" documentId="13_ncr:1_{38BFF548-B973-482C-82C0-4004401A1E00}" xr6:coauthVersionLast="47" xr6:coauthVersionMax="47" xr10:uidLastSave="{00000000-0000-0000-0000-000000000000}"/>
  <bookViews>
    <workbookView xWindow="-108" yWindow="-108" windowWidth="23256" windowHeight="12576" activeTab="2" xr2:uid="{CBCD672B-0C44-4064-AC48-8EA8F7AD1E18}"/>
  </bookViews>
  <sheets>
    <sheet name="Medie Giuria2019_Q" sheetId="1" r:id="rId1"/>
    <sheet name="Medie Giuria2021_Q" sheetId="3" r:id="rId2"/>
    <sheet name="Medie Giuria2020_Q " sheetId="2" r:id="rId3"/>
  </sheets>
  <definedNames>
    <definedName name="_xlnm._FilterDatabase" localSheetId="0" hidden="1">'Medie Giuria2019_Q'!$A$1:$M$176</definedName>
    <definedName name="_xlnm._FilterDatabase" localSheetId="2" hidden="1">'Medie Giuria2020_Q '!$A$1:$O$163</definedName>
    <definedName name="_xlnm._FilterDatabase" localSheetId="1" hidden="1">'Medie Giuria2021_Q'!$A$1:$T$167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7" i="3" l="1"/>
  <c r="K166" i="3"/>
  <c r="K165" i="3"/>
  <c r="K164" i="3"/>
  <c r="K163" i="3"/>
  <c r="K162" i="3"/>
  <c r="K161" i="3"/>
  <c r="K160" i="3"/>
  <c r="K159" i="3"/>
  <c r="K158" i="3"/>
  <c r="K157" i="3"/>
  <c r="K156" i="3"/>
  <c r="K155" i="3"/>
  <c r="K154" i="3"/>
  <c r="K153" i="3"/>
  <c r="K152" i="3"/>
  <c r="K151" i="3"/>
  <c r="K150" i="3"/>
  <c r="K149" i="3"/>
  <c r="K148" i="3"/>
  <c r="K147" i="3"/>
  <c r="K146" i="3"/>
  <c r="K145" i="3"/>
  <c r="K144" i="3"/>
  <c r="K143" i="3"/>
  <c r="K142" i="3"/>
  <c r="K141" i="3"/>
  <c r="K140" i="3"/>
  <c r="K139" i="3"/>
  <c r="K138" i="3"/>
  <c r="K137" i="3"/>
  <c r="K136" i="3"/>
  <c r="K135" i="3"/>
  <c r="K134" i="3"/>
  <c r="K133" i="3"/>
  <c r="K132" i="3"/>
  <c r="K131" i="3"/>
  <c r="K130" i="3"/>
  <c r="K129" i="3"/>
  <c r="K128" i="3"/>
  <c r="K127" i="3"/>
  <c r="K126" i="3"/>
  <c r="K125" i="3"/>
  <c r="K124" i="3"/>
  <c r="K123" i="3"/>
  <c r="K122" i="3"/>
  <c r="K121" i="3"/>
  <c r="K120" i="3"/>
  <c r="K119" i="3"/>
  <c r="K118" i="3"/>
  <c r="K117" i="3"/>
  <c r="K116" i="3"/>
  <c r="K115" i="3"/>
  <c r="K114" i="3"/>
  <c r="K113" i="3"/>
  <c r="K112" i="3"/>
  <c r="K111" i="3"/>
  <c r="K110" i="3"/>
  <c r="K109" i="3"/>
  <c r="K108" i="3"/>
  <c r="K107" i="3"/>
  <c r="K106" i="3"/>
  <c r="K105" i="3"/>
  <c r="K104" i="3"/>
  <c r="K103" i="3"/>
  <c r="K102" i="3"/>
  <c r="K101" i="3"/>
  <c r="K100" i="3"/>
  <c r="K99" i="3"/>
  <c r="K98" i="3"/>
  <c r="K97" i="3"/>
  <c r="K96" i="3"/>
  <c r="K95" i="3"/>
  <c r="K94" i="3"/>
  <c r="K93" i="3"/>
  <c r="K92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K2" i="3"/>
  <c r="F163" i="2" l="1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P180" i="1" l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<sst xmlns="http://schemas.openxmlformats.org/spreadsheetml/2006/main" count="1834" uniqueCount="81">
  <si>
    <t>Prod</t>
  </si>
  <si>
    <t>Forma</t>
  </si>
  <si>
    <t>Bimestre</t>
  </si>
  <si>
    <t>Data analisi</t>
  </si>
  <si>
    <t>Product</t>
  </si>
  <si>
    <t>Spessore della Crosta</t>
  </si>
  <si>
    <t>Struttura della Pasta</t>
  </si>
  <si>
    <t>Colore della Pasta</t>
  </si>
  <si>
    <t>Aspetto Esteriore</t>
  </si>
  <si>
    <t>Profumo</t>
  </si>
  <si>
    <t>Sapore</t>
  </si>
  <si>
    <t>Aroma</t>
  </si>
  <si>
    <t xml:space="preserve">Punteggio Complessivo </t>
  </si>
  <si>
    <t>I</t>
  </si>
  <si>
    <t>II</t>
  </si>
  <si>
    <t>III</t>
  </si>
  <si>
    <t>IV</t>
  </si>
  <si>
    <t>V</t>
  </si>
  <si>
    <t>N seduta</t>
  </si>
  <si>
    <t>VI</t>
  </si>
  <si>
    <t>ANNO</t>
  </si>
  <si>
    <t>BIM</t>
  </si>
  <si>
    <t>MESE</t>
  </si>
  <si>
    <t xml:space="preserve">N </t>
  </si>
  <si>
    <t>CODICE CASEINA</t>
  </si>
  <si>
    <t>SIGLA</t>
  </si>
  <si>
    <t>CODICE FOMA</t>
  </si>
  <si>
    <t>CODICE P</t>
  </si>
  <si>
    <t>GIORNO ANALISI</t>
  </si>
  <si>
    <t>N SESSIONE</t>
  </si>
  <si>
    <t>Texture</t>
  </si>
  <si>
    <t>2019-2020</t>
  </si>
  <si>
    <t>DIC</t>
  </si>
  <si>
    <t>NU</t>
  </si>
  <si>
    <t>1A</t>
  </si>
  <si>
    <t>P1</t>
  </si>
  <si>
    <t>P2</t>
  </si>
  <si>
    <t>P3</t>
  </si>
  <si>
    <t>P4</t>
  </si>
  <si>
    <t>2A</t>
  </si>
  <si>
    <t>NL</t>
  </si>
  <si>
    <t>1B</t>
  </si>
  <si>
    <t>P5</t>
  </si>
  <si>
    <t>3A</t>
  </si>
  <si>
    <t>P6</t>
  </si>
  <si>
    <t>MY</t>
  </si>
  <si>
    <t>FEB</t>
  </si>
  <si>
    <t>ON</t>
  </si>
  <si>
    <t>MODIFICA PESI</t>
  </si>
  <si>
    <t>OO</t>
  </si>
  <si>
    <t>1309 </t>
  </si>
  <si>
    <t> OO</t>
  </si>
  <si>
    <t>APR</t>
  </si>
  <si>
    <t xml:space="preserve">ON </t>
  </si>
  <si>
    <t>2B</t>
  </si>
  <si>
    <t>3B</t>
  </si>
  <si>
    <t>GIU</t>
  </si>
  <si>
    <t>PS</t>
  </si>
  <si>
    <t>PF</t>
  </si>
  <si>
    <t>PT</t>
  </si>
  <si>
    <t>AGO</t>
  </si>
  <si>
    <t>PR</t>
  </si>
  <si>
    <t>OTT</t>
  </si>
  <si>
    <t>RB</t>
  </si>
  <si>
    <t>TN_C0A</t>
  </si>
  <si>
    <t xml:space="preserve">TN_C0A </t>
  </si>
  <si>
    <t>TN_C0B</t>
  </si>
  <si>
    <t>TN_C0C</t>
  </si>
  <si>
    <t>TN_C0D</t>
  </si>
  <si>
    <t>TN_C0E</t>
  </si>
  <si>
    <t>64.C0E7777777778</t>
  </si>
  <si>
    <t>TN_C0F</t>
  </si>
  <si>
    <t>TN_C0G</t>
  </si>
  <si>
    <t>TN_C0H</t>
  </si>
  <si>
    <t>TN_C0I</t>
  </si>
  <si>
    <t>TN_C0L</t>
  </si>
  <si>
    <t>TN_C0M</t>
  </si>
  <si>
    <t>TN_C0O</t>
  </si>
  <si>
    <t>TN_C0P</t>
  </si>
  <si>
    <t>TN_C0Q</t>
  </si>
  <si>
    <t>TN_C0R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</si>
</sst>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sz val="1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1" fillId="0" borderId="0" xfId="0" applyFont="1"/>
    <xf numFmtId="0" fontId="1" fillId="0" borderId="2" xfId="0" applyFont="1" applyBorder="1" applyAlignment="1">
      <alignment horizontal="center"/>
    </xf>
    <xf numFmtId="14" fontId="1" fillId="0" borderId="0" xfId="0" applyNumberFormat="1" applyFont="1"/>
    <xf numFmtId="0" fontId="1" fillId="6" borderId="1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4" fontId="0" fillId="0" borderId="5" xfId="0" applyNumberFormat="1" applyBorder="1" applyAlignment="1">
      <alignment horizontal="center" vertical="center"/>
    </xf>
    <xf numFmtId="14" fontId="3" fillId="11" borderId="1" xfId="0" applyNumberFormat="1" applyFon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0" borderId="1" xfId="0" applyBorder="1"/>
    <xf numFmtId="0" fontId="0" fillId="0" borderId="4" xfId="0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14" fontId="0" fillId="0" borderId="0" xfId="0" applyNumberFormat="1"/>
    <xf numFmtId="0" fontId="0" fillId="0" borderId="0" xfId="0" applyBorder="1"/>
  </cellXfs>
  <cellStyles count="1">
    <cellStyle name="Normale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BC50D-6555-4CC8-8932-5FE69F1ECD4C}">
  <dimension ref="A1:Q180"/>
  <sheetViews>
    <sheetView workbookViewId="0">
      <pane ySplit="1" topLeftCell="A2" activePane="bottomLeft" state="frozen"/>
      <selection pane="bottomLeft" sqref="A1:A1048576"/>
    </sheetView>
  </sheetViews>
  <sheetFormatPr defaultRowHeight="14.4" x14ac:dyDescent="0.3"/>
  <cols>
    <col min="1" max="1" width="15.33203125" customWidth="1"/>
    <col min="3" max="4" width="12.88671875" customWidth="1"/>
    <col min="5" max="5" width="18.6640625" customWidth="1"/>
    <col min="10" max="10" width="12.6640625" customWidth="1"/>
    <col min="11" max="11" width="17.5546875" customWidth="1"/>
    <col min="13" max="13" width="27.109375" bestFit="1" customWidth="1"/>
    <col min="17" max="17" width="10.6640625" bestFit="1" customWidth="1"/>
  </cols>
  <sheetData>
    <row r="1" spans="1:13" ht="39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4" t="s">
        <v>12</v>
      </c>
    </row>
    <row r="2" spans="1:13" x14ac:dyDescent="0.3">
      <c r="A2" s="5" t="s">
        <v>64</v>
      </c>
      <c r="B2" s="6">
        <v>1</v>
      </c>
      <c r="C2" s="6" t="s">
        <v>13</v>
      </c>
      <c r="D2" s="5">
        <v>43712</v>
      </c>
      <c r="E2" s="7" t="str">
        <f t="shared" ref="E2:E65" si="0">CONCATENATE(A2,"_F",B2,"_BIM_",C2)</f>
        <v>TN_C0A_F1_BIM_I</v>
      </c>
      <c r="F2" s="8">
        <v>7.4444444444444446</v>
      </c>
      <c r="G2" s="8">
        <v>7.3888888888888893</v>
      </c>
      <c r="H2" s="8">
        <v>7.5444444444444452</v>
      </c>
      <c r="I2" s="8">
        <v>7.8555555555555561</v>
      </c>
      <c r="J2" s="8">
        <v>7.9777777777777779</v>
      </c>
      <c r="K2" s="8">
        <v>7.2666666666666657</v>
      </c>
      <c r="L2" s="8">
        <v>7.4777777777777787</v>
      </c>
      <c r="M2" s="8">
        <v>71.851111111111109</v>
      </c>
    </row>
    <row r="3" spans="1:13" x14ac:dyDescent="0.3">
      <c r="A3" s="5" t="s">
        <v>76</v>
      </c>
      <c r="B3" s="6">
        <v>1</v>
      </c>
      <c r="C3" s="6" t="s">
        <v>13</v>
      </c>
      <c r="D3" s="5">
        <v>43712</v>
      </c>
      <c r="E3" s="7" t="str">
        <f t="shared" si="0"/>
        <v>TN_C0M_F1_BIM_I</v>
      </c>
      <c r="F3" s="8">
        <v>7.2333333333333343</v>
      </c>
      <c r="G3" s="8">
        <v>7.2888888888888879</v>
      </c>
      <c r="H3" s="8">
        <v>7.4111111111111114</v>
      </c>
      <c r="I3" s="8">
        <v>6.1999999999999993</v>
      </c>
      <c r="J3" s="8">
        <v>7.5333333333333332</v>
      </c>
      <c r="K3" s="8">
        <v>7.1444444444444457</v>
      </c>
      <c r="L3" s="8">
        <v>7.1555555555555559</v>
      </c>
      <c r="M3" s="8">
        <v>68.187777777777782</v>
      </c>
    </row>
    <row r="4" spans="1:13" x14ac:dyDescent="0.3">
      <c r="A4" s="5" t="s">
        <v>79</v>
      </c>
      <c r="B4" s="6">
        <v>1</v>
      </c>
      <c r="C4" s="6" t="s">
        <v>13</v>
      </c>
      <c r="D4" s="5">
        <v>43712</v>
      </c>
      <c r="E4" s="7" t="str">
        <f t="shared" si="0"/>
        <v>TN_C0Q_F1_BIM_I</v>
      </c>
      <c r="F4" s="8">
        <v>7.0222222222222221</v>
      </c>
      <c r="G4" s="8">
        <v>7.5555555555555554</v>
      </c>
      <c r="H4" s="8">
        <v>7.1555555555555559</v>
      </c>
      <c r="I4" s="8">
        <v>6.833333333333333</v>
      </c>
      <c r="J4" s="8">
        <v>7.2888888888888879</v>
      </c>
      <c r="K4" s="8">
        <v>6.6333333333333337</v>
      </c>
      <c r="L4" s="8">
        <v>7.0333333333333332</v>
      </c>
      <c r="M4" s="8">
        <v>67.001111111111101</v>
      </c>
    </row>
    <row r="5" spans="1:13" x14ac:dyDescent="0.3">
      <c r="A5" s="5" t="s">
        <v>64</v>
      </c>
      <c r="B5" s="6">
        <v>2</v>
      </c>
      <c r="C5" s="6" t="s">
        <v>13</v>
      </c>
      <c r="D5" s="5">
        <v>43719</v>
      </c>
      <c r="E5" s="7" t="str">
        <f t="shared" si="0"/>
        <v>TN_C0A_F2_BIM_I</v>
      </c>
      <c r="F5" s="8">
        <v>7.5666666666666664</v>
      </c>
      <c r="G5" s="8">
        <v>7.1777777777777771</v>
      </c>
      <c r="H5" s="8">
        <v>7.4555555555555548</v>
      </c>
      <c r="I5" s="8">
        <v>7.5166666666666666</v>
      </c>
      <c r="J5" s="8">
        <v>7.488888888888888</v>
      </c>
      <c r="K5" s="8">
        <v>6.8</v>
      </c>
      <c r="L5" s="8">
        <v>7.1</v>
      </c>
      <c r="M5" s="8">
        <v>68.99444444444444</v>
      </c>
    </row>
    <row r="6" spans="1:13" x14ac:dyDescent="0.3">
      <c r="A6" s="5" t="s">
        <v>67</v>
      </c>
      <c r="B6" s="6">
        <v>1</v>
      </c>
      <c r="C6" s="6" t="s">
        <v>13</v>
      </c>
      <c r="D6" s="5">
        <v>43719</v>
      </c>
      <c r="E6" s="7" t="str">
        <f t="shared" si="0"/>
        <v>TN_C0C_F1_BIM_I</v>
      </c>
      <c r="F6" s="8">
        <v>6.9222222222222207</v>
      </c>
      <c r="G6" s="8">
        <v>7.3111111111111127</v>
      </c>
      <c r="H6" s="8">
        <v>7.4222222222222216</v>
      </c>
      <c r="I6" s="8">
        <v>6.7</v>
      </c>
      <c r="J6" s="8">
        <v>7.1888888888888873</v>
      </c>
      <c r="K6" s="8">
        <v>6.8333333333333339</v>
      </c>
      <c r="L6" s="8">
        <v>6.9777777777777779</v>
      </c>
      <c r="M6" s="8">
        <v>66.965555555555568</v>
      </c>
    </row>
    <row r="7" spans="1:13" x14ac:dyDescent="0.3">
      <c r="A7" s="5" t="s">
        <v>68</v>
      </c>
      <c r="B7" s="6">
        <v>1</v>
      </c>
      <c r="C7" s="6" t="s">
        <v>13</v>
      </c>
      <c r="D7" s="5">
        <v>43719</v>
      </c>
      <c r="E7" s="7" t="str">
        <f t="shared" si="0"/>
        <v>TN_C0D_F1_BIM_I</v>
      </c>
      <c r="F7" s="8">
        <v>7.1111111111111107</v>
      </c>
      <c r="G7" s="8">
        <v>7.7777777777777777</v>
      </c>
      <c r="H7" s="8">
        <v>7.3222222222222229</v>
      </c>
      <c r="I7" s="8">
        <v>6.6999999999999993</v>
      </c>
      <c r="J7" s="8">
        <v>7.3666666666666663</v>
      </c>
      <c r="K7" s="8">
        <v>7.0000000000000009</v>
      </c>
      <c r="L7" s="8">
        <v>7.2888888888888879</v>
      </c>
      <c r="M7" s="8">
        <v>68.62222222222222</v>
      </c>
    </row>
    <row r="8" spans="1:13" x14ac:dyDescent="0.3">
      <c r="A8" s="5" t="s">
        <v>72</v>
      </c>
      <c r="B8" s="6">
        <v>1</v>
      </c>
      <c r="C8" s="6" t="s">
        <v>13</v>
      </c>
      <c r="D8" s="5">
        <v>43719</v>
      </c>
      <c r="E8" s="7" t="str">
        <f t="shared" si="0"/>
        <v>TN_C0G_F1_BIM_I</v>
      </c>
      <c r="F8" s="8">
        <v>7.4444444444444446</v>
      </c>
      <c r="G8" s="8">
        <v>6.4555555555555557</v>
      </c>
      <c r="H8" s="8">
        <v>5.5777777777777775</v>
      </c>
      <c r="I8" s="8">
        <v>6.3500000000000005</v>
      </c>
      <c r="J8" s="8">
        <v>7.6222222222222236</v>
      </c>
      <c r="K8" s="8">
        <v>7.1555555555555559</v>
      </c>
      <c r="L8" s="8">
        <v>7.2555555555555555</v>
      </c>
      <c r="M8" s="8">
        <v>65.673333333333346</v>
      </c>
    </row>
    <row r="9" spans="1:13" x14ac:dyDescent="0.3">
      <c r="A9" s="5" t="s">
        <v>76</v>
      </c>
      <c r="B9" s="6">
        <v>2</v>
      </c>
      <c r="C9" s="6" t="s">
        <v>13</v>
      </c>
      <c r="D9" s="5">
        <v>43719</v>
      </c>
      <c r="E9" s="7" t="str">
        <f t="shared" si="0"/>
        <v>TN_C0M_F2_BIM_I</v>
      </c>
      <c r="F9" s="8">
        <v>6.6999999999999993</v>
      </c>
      <c r="G9" s="8">
        <v>5.1888888888888891</v>
      </c>
      <c r="H9" s="8">
        <v>6.9</v>
      </c>
      <c r="I9" s="8">
        <v>5.95</v>
      </c>
      <c r="J9" s="8">
        <v>7.1777777777777771</v>
      </c>
      <c r="K9" s="8">
        <v>7.2444444444444445</v>
      </c>
      <c r="L9" s="8">
        <v>6.833333333333333</v>
      </c>
      <c r="M9" s="8">
        <v>63.667777777777779</v>
      </c>
    </row>
    <row r="10" spans="1:13" x14ac:dyDescent="0.3">
      <c r="A10" s="5" t="s">
        <v>79</v>
      </c>
      <c r="B10" s="6">
        <v>2</v>
      </c>
      <c r="C10" s="6" t="s">
        <v>13</v>
      </c>
      <c r="D10" s="5">
        <v>43719</v>
      </c>
      <c r="E10" s="7" t="str">
        <f t="shared" si="0"/>
        <v>TN_C0Q_F2_BIM_I</v>
      </c>
      <c r="F10" s="8">
        <v>6.7</v>
      </c>
      <c r="G10" s="8">
        <v>5.833333333333333</v>
      </c>
      <c r="H10" s="8">
        <v>7.1222222222222236</v>
      </c>
      <c r="I10" s="8">
        <v>6.0999999999999988</v>
      </c>
      <c r="J10" s="8">
        <v>7.1777777777777771</v>
      </c>
      <c r="K10" s="8">
        <v>6.9666666666666659</v>
      </c>
      <c r="L10" s="8">
        <v>6.8666666666666663</v>
      </c>
      <c r="M10" s="8" t="s">
        <v>70</v>
      </c>
    </row>
    <row r="11" spans="1:13" x14ac:dyDescent="0.3">
      <c r="A11" s="5" t="s">
        <v>66</v>
      </c>
      <c r="B11" s="6">
        <v>1</v>
      </c>
      <c r="C11" s="6" t="s">
        <v>13</v>
      </c>
      <c r="D11" s="5">
        <v>43726</v>
      </c>
      <c r="E11" s="7" t="str">
        <f t="shared" si="0"/>
        <v>TN_C0B_F1_BIM_I</v>
      </c>
      <c r="F11" s="9">
        <v>7.3</v>
      </c>
      <c r="G11" s="9">
        <v>6.8500000000000005</v>
      </c>
      <c r="H11" s="9">
        <v>6.9833333333333334</v>
      </c>
      <c r="I11" s="9">
        <v>6.4545454545454559</v>
      </c>
      <c r="J11" s="8">
        <v>7.4499999999999993</v>
      </c>
      <c r="K11" s="8">
        <v>7.6000000000000005</v>
      </c>
      <c r="L11" s="8">
        <v>7.7666666666666666</v>
      </c>
      <c r="M11" s="9">
        <v>69.23121212121211</v>
      </c>
    </row>
    <row r="12" spans="1:13" x14ac:dyDescent="0.3">
      <c r="A12" s="5" t="s">
        <v>67</v>
      </c>
      <c r="B12" s="6">
        <v>2</v>
      </c>
      <c r="C12" s="6" t="s">
        <v>13</v>
      </c>
      <c r="D12" s="5">
        <v>43726</v>
      </c>
      <c r="E12" s="7" t="str">
        <f t="shared" si="0"/>
        <v>TN_C0C_F2_BIM_I</v>
      </c>
      <c r="F12" s="8">
        <v>7.1833333333333336</v>
      </c>
      <c r="G12" s="8">
        <v>6.4499999999999993</v>
      </c>
      <c r="H12" s="8">
        <v>7.666666666666667</v>
      </c>
      <c r="I12" s="8">
        <v>7.9545454545454559</v>
      </c>
      <c r="J12" s="8">
        <v>7.2666666666666666</v>
      </c>
      <c r="K12" s="8">
        <v>7.1833333333333336</v>
      </c>
      <c r="L12" s="8">
        <v>7.4333333333333336</v>
      </c>
      <c r="M12" s="8">
        <v>69.474545454545463</v>
      </c>
    </row>
    <row r="13" spans="1:13" x14ac:dyDescent="0.3">
      <c r="A13" s="5" t="s">
        <v>69</v>
      </c>
      <c r="B13" s="6">
        <v>1</v>
      </c>
      <c r="C13" s="6" t="s">
        <v>13</v>
      </c>
      <c r="D13" s="5">
        <v>43726</v>
      </c>
      <c r="E13" s="7" t="str">
        <f t="shared" si="0"/>
        <v>TN_C0E_F1_BIM_I</v>
      </c>
      <c r="F13" s="9">
        <v>7.8666666666666671</v>
      </c>
      <c r="G13" s="9">
        <v>8.35</v>
      </c>
      <c r="H13" s="9">
        <v>8.7166666666666668</v>
      </c>
      <c r="I13" s="9">
        <v>7.4090909090909092</v>
      </c>
      <c r="J13" s="8">
        <v>7.1333333333333337</v>
      </c>
      <c r="K13" s="8">
        <v>6.6333333333333329</v>
      </c>
      <c r="L13" s="8">
        <v>6.666666666666667</v>
      </c>
      <c r="M13" s="9">
        <v>70.357424242424244</v>
      </c>
    </row>
    <row r="14" spans="1:13" x14ac:dyDescent="0.3">
      <c r="A14" s="5" t="s">
        <v>71</v>
      </c>
      <c r="B14" s="6">
        <v>1</v>
      </c>
      <c r="C14" s="6" t="s">
        <v>13</v>
      </c>
      <c r="D14" s="5">
        <v>43726</v>
      </c>
      <c r="E14" s="7" t="str">
        <f t="shared" si="0"/>
        <v>TN_C0F_F1_BIM_I</v>
      </c>
      <c r="F14" s="8">
        <v>7.05</v>
      </c>
      <c r="G14" s="8">
        <v>6.8833333333333329</v>
      </c>
      <c r="H14" s="8">
        <v>7.1499999999999995</v>
      </c>
      <c r="I14" s="8">
        <v>6.0909090909090908</v>
      </c>
      <c r="J14" s="8">
        <v>7.4666666666666659</v>
      </c>
      <c r="K14" s="8">
        <v>6.7833333333333341</v>
      </c>
      <c r="L14" s="8">
        <v>7.0333333333333341</v>
      </c>
      <c r="M14" s="8">
        <v>66.179242424242418</v>
      </c>
    </row>
    <row r="15" spans="1:13" x14ac:dyDescent="0.3">
      <c r="A15" s="5" t="s">
        <v>72</v>
      </c>
      <c r="B15" s="6">
        <v>2</v>
      </c>
      <c r="C15" s="6" t="s">
        <v>13</v>
      </c>
      <c r="D15" s="5">
        <v>43726</v>
      </c>
      <c r="E15" s="7" t="str">
        <f t="shared" si="0"/>
        <v>TN_C0G_F2_BIM_I</v>
      </c>
      <c r="F15" s="8">
        <v>7.7</v>
      </c>
      <c r="G15" s="8">
        <v>7.25</v>
      </c>
      <c r="H15" s="8">
        <v>6.4666666666666659</v>
      </c>
      <c r="I15" s="8">
        <v>7.254545454545454</v>
      </c>
      <c r="J15" s="8">
        <v>7.0999999999999988</v>
      </c>
      <c r="K15" s="8">
        <v>6.9499999999999993</v>
      </c>
      <c r="L15" s="8">
        <v>7.0999999999999988</v>
      </c>
      <c r="M15" s="8">
        <v>67.261212121212111</v>
      </c>
    </row>
    <row r="16" spans="1:13" x14ac:dyDescent="0.3">
      <c r="A16" s="5" t="s">
        <v>76</v>
      </c>
      <c r="B16" s="6">
        <v>1</v>
      </c>
      <c r="C16" s="6" t="s">
        <v>13</v>
      </c>
      <c r="D16" s="5">
        <v>43726</v>
      </c>
      <c r="E16" s="7" t="str">
        <f t="shared" si="0"/>
        <v>TN_C0M_F1_BIM_I</v>
      </c>
      <c r="F16" s="8">
        <v>7.5333333333333341</v>
      </c>
      <c r="G16" s="8">
        <v>7.8</v>
      </c>
      <c r="H16" s="8">
        <v>7.3499999999999988</v>
      </c>
      <c r="I16" s="8">
        <v>7.3454545454545466</v>
      </c>
      <c r="J16" s="8">
        <v>6.8666666666666671</v>
      </c>
      <c r="K16" s="8">
        <v>6.8</v>
      </c>
      <c r="L16" s="8">
        <v>6.7</v>
      </c>
      <c r="M16" s="8">
        <v>67.537121212121207</v>
      </c>
    </row>
    <row r="17" spans="1:13" x14ac:dyDescent="0.3">
      <c r="A17" s="5" t="s">
        <v>64</v>
      </c>
      <c r="B17" s="6">
        <v>3</v>
      </c>
      <c r="C17" s="6" t="s">
        <v>13</v>
      </c>
      <c r="D17" s="5">
        <v>43733</v>
      </c>
      <c r="E17" s="7" t="str">
        <f t="shared" si="0"/>
        <v>TN_C0A_F3_BIM_I</v>
      </c>
      <c r="F17" s="8">
        <v>7.2099999999999991</v>
      </c>
      <c r="G17" s="8">
        <v>7.2700000000000005</v>
      </c>
      <c r="H17" s="8">
        <v>7.76</v>
      </c>
      <c r="I17" s="8">
        <v>6.5555555555555554</v>
      </c>
      <c r="J17" s="8">
        <v>7.75</v>
      </c>
      <c r="K17" s="8">
        <v>6.8</v>
      </c>
      <c r="L17" s="8">
        <v>7.1099999999999994</v>
      </c>
      <c r="M17" s="8">
        <v>68.62555555555555</v>
      </c>
    </row>
    <row r="18" spans="1:13" x14ac:dyDescent="0.3">
      <c r="A18" s="5" t="s">
        <v>68</v>
      </c>
      <c r="B18" s="6">
        <v>2</v>
      </c>
      <c r="C18" s="6" t="s">
        <v>13</v>
      </c>
      <c r="D18" s="5">
        <v>43733</v>
      </c>
      <c r="E18" s="7" t="str">
        <f t="shared" si="0"/>
        <v>TN_C0D_F2_BIM_I</v>
      </c>
      <c r="F18" s="8">
        <v>7.44</v>
      </c>
      <c r="G18" s="8">
        <v>7.05</v>
      </c>
      <c r="H18" s="8">
        <v>7.32</v>
      </c>
      <c r="I18" s="8">
        <v>6.9555555555555557</v>
      </c>
      <c r="J18" s="8">
        <v>7.5</v>
      </c>
      <c r="K18" s="8">
        <v>7.0300000000000011</v>
      </c>
      <c r="L18" s="8">
        <v>7.18</v>
      </c>
      <c r="M18" s="8">
        <v>68.571555555555562</v>
      </c>
    </row>
    <row r="19" spans="1:13" x14ac:dyDescent="0.3">
      <c r="A19" s="5" t="s">
        <v>74</v>
      </c>
      <c r="B19" s="6">
        <v>1</v>
      </c>
      <c r="C19" s="6" t="s">
        <v>13</v>
      </c>
      <c r="D19" s="5">
        <v>43733</v>
      </c>
      <c r="E19" s="7" t="str">
        <f t="shared" si="0"/>
        <v>TN_C0I_F1_BIM_I</v>
      </c>
      <c r="F19" s="8">
        <v>7.0699999999999985</v>
      </c>
      <c r="G19" s="8">
        <v>7.1099999999999994</v>
      </c>
      <c r="H19" s="8">
        <v>6.35</v>
      </c>
      <c r="I19" s="8">
        <v>6.0666666666666664</v>
      </c>
      <c r="J19" s="8">
        <v>7.1</v>
      </c>
      <c r="K19" s="8">
        <v>6.3899999999999988</v>
      </c>
      <c r="L19" s="8">
        <v>6.65</v>
      </c>
      <c r="M19" s="8">
        <v>63.378666666666653</v>
      </c>
    </row>
    <row r="20" spans="1:13" x14ac:dyDescent="0.3">
      <c r="A20" s="5" t="s">
        <v>75</v>
      </c>
      <c r="B20" s="6">
        <v>1</v>
      </c>
      <c r="C20" s="6" t="s">
        <v>13</v>
      </c>
      <c r="D20" s="5">
        <v>43733</v>
      </c>
      <c r="E20" s="7" t="str">
        <f t="shared" si="0"/>
        <v>TN_C0L_F1_BIM_I</v>
      </c>
      <c r="F20" s="8">
        <v>6.7</v>
      </c>
      <c r="G20" s="8">
        <v>5.64</v>
      </c>
      <c r="H20" s="8">
        <v>5.01</v>
      </c>
      <c r="I20" s="8">
        <v>5.166666666666667</v>
      </c>
      <c r="J20" s="8">
        <v>7.25</v>
      </c>
      <c r="K20" s="8">
        <v>6.7799999999999994</v>
      </c>
      <c r="L20" s="8">
        <v>6.76</v>
      </c>
      <c r="M20" s="8">
        <v>60.040666666666667</v>
      </c>
    </row>
    <row r="21" spans="1:13" x14ac:dyDescent="0.3">
      <c r="A21" s="5" t="s">
        <v>79</v>
      </c>
      <c r="B21" s="6">
        <v>3</v>
      </c>
      <c r="C21" s="6" t="s">
        <v>13</v>
      </c>
      <c r="D21" s="5">
        <v>43733</v>
      </c>
      <c r="E21" s="7" t="str">
        <f t="shared" si="0"/>
        <v>TN_C0Q_F3_BIM_I</v>
      </c>
      <c r="F21" s="8">
        <v>6.910000000000001</v>
      </c>
      <c r="G21" s="8">
        <v>6.25</v>
      </c>
      <c r="H21" s="8">
        <v>7.12</v>
      </c>
      <c r="I21" s="8">
        <v>6.5888888888888895</v>
      </c>
      <c r="J21" s="8">
        <v>7.17</v>
      </c>
      <c r="K21" s="8">
        <v>6.7899999999999991</v>
      </c>
      <c r="L21" s="8">
        <v>6.8199999999999985</v>
      </c>
      <c r="M21" s="8">
        <v>65.009888888888895</v>
      </c>
    </row>
    <row r="22" spans="1:13" x14ac:dyDescent="0.3">
      <c r="A22" s="5" t="s">
        <v>80</v>
      </c>
      <c r="B22" s="6">
        <v>1</v>
      </c>
      <c r="C22" s="6" t="s">
        <v>13</v>
      </c>
      <c r="D22" s="5">
        <v>43733</v>
      </c>
      <c r="E22" s="7" t="str">
        <f t="shared" si="0"/>
        <v>TN_C0R_F1_BIM_I</v>
      </c>
      <c r="F22" s="8">
        <v>6.3699999999999992</v>
      </c>
      <c r="G22" s="8">
        <v>5.67</v>
      </c>
      <c r="H22" s="8">
        <v>6.45</v>
      </c>
      <c r="I22" s="8">
        <v>6.5444444444444443</v>
      </c>
      <c r="J22" s="8">
        <v>6.5699999999999985</v>
      </c>
      <c r="K22" s="8">
        <v>6.95</v>
      </c>
      <c r="L22" s="8">
        <v>6.65</v>
      </c>
      <c r="M22" s="8">
        <v>61.953444444444436</v>
      </c>
    </row>
    <row r="23" spans="1:13" x14ac:dyDescent="0.3">
      <c r="A23" s="5" t="s">
        <v>67</v>
      </c>
      <c r="B23" s="6">
        <v>3</v>
      </c>
      <c r="C23" s="6" t="s">
        <v>13</v>
      </c>
      <c r="D23" s="5">
        <v>43740</v>
      </c>
      <c r="E23" s="7" t="str">
        <f t="shared" si="0"/>
        <v>TN_C0C_F3_BIM_I</v>
      </c>
      <c r="F23" s="9">
        <v>7.5249999999999995</v>
      </c>
      <c r="G23" s="9">
        <v>7.2124999999999995</v>
      </c>
      <c r="H23" s="9">
        <v>6.6624999999999988</v>
      </c>
      <c r="I23" s="9">
        <v>6.5888888888888895</v>
      </c>
      <c r="J23" s="8">
        <v>7.25</v>
      </c>
      <c r="K23" s="8">
        <v>7.3000000000000007</v>
      </c>
      <c r="L23" s="8">
        <v>7.3125</v>
      </c>
      <c r="M23" s="9">
        <v>67.88388888888889</v>
      </c>
    </row>
    <row r="24" spans="1:13" x14ac:dyDescent="0.3">
      <c r="A24" s="5" t="s">
        <v>68</v>
      </c>
      <c r="B24" s="6">
        <v>3</v>
      </c>
      <c r="C24" s="6" t="s">
        <v>13</v>
      </c>
      <c r="D24" s="5">
        <v>43740</v>
      </c>
      <c r="E24" s="7" t="str">
        <f t="shared" si="0"/>
        <v>TN_C0D_F3_BIM_I</v>
      </c>
      <c r="F24" s="8">
        <v>7.2374999999999989</v>
      </c>
      <c r="G24" s="8">
        <v>7.6624999999999996</v>
      </c>
      <c r="H24" s="8">
        <v>7.3374999999999995</v>
      </c>
      <c r="I24" s="8">
        <v>7.6444444444444457</v>
      </c>
      <c r="J24" s="8">
        <v>6.8125</v>
      </c>
      <c r="K24" s="8">
        <v>7.1</v>
      </c>
      <c r="L24" s="8">
        <v>7.1375000000000002</v>
      </c>
      <c r="M24" s="8">
        <v>68.578194444444449</v>
      </c>
    </row>
    <row r="25" spans="1:13" x14ac:dyDescent="0.3">
      <c r="A25" s="5" t="s">
        <v>69</v>
      </c>
      <c r="B25" s="6">
        <v>2</v>
      </c>
      <c r="C25" s="6" t="s">
        <v>13</v>
      </c>
      <c r="D25" s="5">
        <v>43740</v>
      </c>
      <c r="E25" s="7" t="str">
        <f t="shared" si="0"/>
        <v>TN_C0E_F2_BIM_I</v>
      </c>
      <c r="F25" s="8">
        <v>8.0625</v>
      </c>
      <c r="G25" s="8">
        <v>8.0874999999999986</v>
      </c>
      <c r="H25" s="8">
        <v>8.3625000000000007</v>
      </c>
      <c r="I25" s="8">
        <v>7.3999999999999995</v>
      </c>
      <c r="J25" s="8">
        <v>7.7500000000000009</v>
      </c>
      <c r="K25" s="8">
        <v>7.2624999999999993</v>
      </c>
      <c r="L25" s="8">
        <v>7.2624999999999993</v>
      </c>
      <c r="M25" s="8">
        <v>73.014999999999986</v>
      </c>
    </row>
    <row r="26" spans="1:13" x14ac:dyDescent="0.3">
      <c r="A26" s="5" t="s">
        <v>73</v>
      </c>
      <c r="B26" s="6">
        <v>1</v>
      </c>
      <c r="C26" s="6" t="s">
        <v>13</v>
      </c>
      <c r="D26" s="5">
        <v>43740</v>
      </c>
      <c r="E26" s="7" t="str">
        <f t="shared" si="0"/>
        <v>TN_C0H_F1_BIM_I</v>
      </c>
      <c r="F26" s="8">
        <v>7.5500000000000007</v>
      </c>
      <c r="G26" s="8">
        <v>7.9625000000000004</v>
      </c>
      <c r="H26" s="8">
        <v>7.6875</v>
      </c>
      <c r="I26" s="8">
        <v>7.2000000000000011</v>
      </c>
      <c r="J26" s="8">
        <v>7.4625000000000004</v>
      </c>
      <c r="K26" s="8">
        <v>7.3624999999999998</v>
      </c>
      <c r="L26" s="8">
        <v>7.1874999999999991</v>
      </c>
      <c r="M26" s="8">
        <v>70.863749999999996</v>
      </c>
    </row>
    <row r="27" spans="1:13" x14ac:dyDescent="0.3">
      <c r="A27" s="5" t="s">
        <v>76</v>
      </c>
      <c r="B27" s="6">
        <v>2</v>
      </c>
      <c r="C27" s="6" t="s">
        <v>13</v>
      </c>
      <c r="D27" s="5">
        <v>43740</v>
      </c>
      <c r="E27" s="7" t="str">
        <f t="shared" si="0"/>
        <v>TN_C0M_F2_BIM_I</v>
      </c>
      <c r="F27" s="8">
        <v>7.2374999999999998</v>
      </c>
      <c r="G27" s="8">
        <v>7.6875</v>
      </c>
      <c r="H27" s="8">
        <v>7.2374999999999989</v>
      </c>
      <c r="I27" s="8">
        <v>7.5</v>
      </c>
      <c r="J27" s="8">
        <v>7.2124999999999986</v>
      </c>
      <c r="K27" s="8">
        <v>6.9749999999999988</v>
      </c>
      <c r="L27" s="8">
        <v>6.5625</v>
      </c>
      <c r="M27" s="8">
        <v>67.806250000000006</v>
      </c>
    </row>
    <row r="28" spans="1:13" x14ac:dyDescent="0.3">
      <c r="A28" s="5" t="s">
        <v>77</v>
      </c>
      <c r="B28" s="6">
        <v>1</v>
      </c>
      <c r="C28" s="6" t="s">
        <v>13</v>
      </c>
      <c r="D28" s="5">
        <v>43740</v>
      </c>
      <c r="E28" s="7" t="str">
        <f t="shared" si="0"/>
        <v>TN_C0O_F1_BIM_I</v>
      </c>
      <c r="F28" s="8">
        <v>6.7874999999999996</v>
      </c>
      <c r="G28" s="8">
        <v>6.7250000000000005</v>
      </c>
      <c r="H28" s="8">
        <v>6.6124999999999998</v>
      </c>
      <c r="I28" s="8">
        <v>7.6444444444444439</v>
      </c>
      <c r="J28" s="8">
        <v>7.2124999999999995</v>
      </c>
      <c r="K28" s="8">
        <v>6.8624999999999998</v>
      </c>
      <c r="L28" s="8">
        <v>6.6875</v>
      </c>
      <c r="M28" s="8">
        <v>65.735694444444448</v>
      </c>
    </row>
    <row r="29" spans="1:13" x14ac:dyDescent="0.3">
      <c r="A29" s="5" t="s">
        <v>64</v>
      </c>
      <c r="B29" s="6">
        <v>1</v>
      </c>
      <c r="C29" s="6" t="s">
        <v>14</v>
      </c>
      <c r="D29" s="5">
        <v>43747</v>
      </c>
      <c r="E29" s="7" t="str">
        <f t="shared" si="0"/>
        <v>TN_C0A_F1_BIM_II</v>
      </c>
      <c r="F29" s="8">
        <v>6.65</v>
      </c>
      <c r="G29" s="8">
        <v>7.08</v>
      </c>
      <c r="H29" s="8">
        <v>7.1300000000000008</v>
      </c>
      <c r="I29" s="8">
        <v>5.8999999999999995</v>
      </c>
      <c r="J29" s="8">
        <v>7.94</v>
      </c>
      <c r="K29" s="8">
        <v>7.06</v>
      </c>
      <c r="L29" s="8">
        <v>7.419999999999999</v>
      </c>
      <c r="M29" s="8">
        <v>67.718999999999994</v>
      </c>
    </row>
    <row r="30" spans="1:13" x14ac:dyDescent="0.3">
      <c r="A30" s="5" t="s">
        <v>64</v>
      </c>
      <c r="B30" s="6">
        <v>2</v>
      </c>
      <c r="C30" s="6" t="s">
        <v>14</v>
      </c>
      <c r="D30" s="5">
        <v>43747</v>
      </c>
      <c r="E30" s="7" t="str">
        <f t="shared" si="0"/>
        <v>TN_C0A_F2_BIM_II</v>
      </c>
      <c r="F30" s="8">
        <v>6.7555555555555564</v>
      </c>
      <c r="G30" s="8">
        <v>7.4222222222222216</v>
      </c>
      <c r="H30" s="8">
        <v>6.7111111111111112</v>
      </c>
      <c r="I30" s="8">
        <v>6.75</v>
      </c>
      <c r="J30" s="8">
        <v>7.4777777777777787</v>
      </c>
      <c r="K30" s="8">
        <v>6.6222222222222236</v>
      </c>
      <c r="L30" s="8">
        <v>7.5333333333333332</v>
      </c>
      <c r="M30" s="8">
        <v>67.091111111111118</v>
      </c>
    </row>
    <row r="31" spans="1:13" x14ac:dyDescent="0.3">
      <c r="A31" s="5" t="s">
        <v>64</v>
      </c>
      <c r="B31" s="6">
        <v>3</v>
      </c>
      <c r="C31" s="6" t="s">
        <v>14</v>
      </c>
      <c r="D31" s="5">
        <v>43747</v>
      </c>
      <c r="E31" s="7" t="str">
        <f t="shared" si="0"/>
        <v>TN_C0A_F3_BIM_II</v>
      </c>
      <c r="F31" s="8">
        <v>6.8624999999999998</v>
      </c>
      <c r="G31" s="8">
        <v>7.3250000000000002</v>
      </c>
      <c r="H31" s="8">
        <v>6.5625</v>
      </c>
      <c r="I31" s="8">
        <v>6.2571428571428571</v>
      </c>
      <c r="J31" s="8">
        <v>7.3125</v>
      </c>
      <c r="K31" s="8">
        <v>6.7874999999999996</v>
      </c>
      <c r="L31" s="8">
        <v>7.3874999999999993</v>
      </c>
      <c r="M31" s="8">
        <v>66.183392857142863</v>
      </c>
    </row>
    <row r="32" spans="1:13" x14ac:dyDescent="0.3">
      <c r="A32" s="10" t="s">
        <v>66</v>
      </c>
      <c r="B32" s="6">
        <v>1</v>
      </c>
      <c r="C32" s="6" t="s">
        <v>14</v>
      </c>
      <c r="D32" s="5">
        <v>43747</v>
      </c>
      <c r="E32" s="7" t="str">
        <f t="shared" si="0"/>
        <v>TN_C0B_F1_BIM_II</v>
      </c>
      <c r="F32" s="8">
        <v>7.3888888888888875</v>
      </c>
      <c r="G32" s="8">
        <v>7.1111111111111107</v>
      </c>
      <c r="H32" s="8">
        <v>7.8222222222222229</v>
      </c>
      <c r="I32" s="8">
        <v>7.6749999999999998</v>
      </c>
      <c r="J32" s="8">
        <v>7.1</v>
      </c>
      <c r="K32" s="8">
        <v>6.6999999999999993</v>
      </c>
      <c r="L32" s="8">
        <v>6.833333333333333</v>
      </c>
      <c r="M32" s="8">
        <v>68.09055555555554</v>
      </c>
    </row>
    <row r="33" spans="1:13" x14ac:dyDescent="0.3">
      <c r="A33" s="5" t="s">
        <v>67</v>
      </c>
      <c r="B33" s="6">
        <v>1</v>
      </c>
      <c r="C33" s="6" t="s">
        <v>14</v>
      </c>
      <c r="D33" s="5">
        <v>43754</v>
      </c>
      <c r="E33" s="7" t="str">
        <f t="shared" si="0"/>
        <v>TN_C0C_F1_BIM_II</v>
      </c>
      <c r="F33" s="8">
        <v>7.62</v>
      </c>
      <c r="G33" s="8">
        <v>6.1800000000000006</v>
      </c>
      <c r="H33" s="8">
        <v>6.419999999999999</v>
      </c>
      <c r="I33" s="8">
        <v>7.7555555555555555</v>
      </c>
      <c r="J33" s="8">
        <v>7.37</v>
      </c>
      <c r="K33" s="8">
        <v>6.9099999999999993</v>
      </c>
      <c r="L33" s="8">
        <v>6.7099999999999991</v>
      </c>
      <c r="M33" s="8">
        <v>66.275555555555556</v>
      </c>
    </row>
    <row r="34" spans="1:13" x14ac:dyDescent="0.3">
      <c r="A34" s="11" t="s">
        <v>67</v>
      </c>
      <c r="B34" s="6">
        <v>2</v>
      </c>
      <c r="C34" s="6" t="s">
        <v>14</v>
      </c>
      <c r="D34" s="5">
        <v>43754</v>
      </c>
      <c r="E34" s="7" t="str">
        <f t="shared" si="0"/>
        <v>TN_C0C_F2_BIM_II</v>
      </c>
      <c r="F34" s="8">
        <v>7.2555555555555555</v>
      </c>
      <c r="G34" s="8">
        <v>7.3666666666666663</v>
      </c>
      <c r="H34" s="8">
        <v>7.166666666666667</v>
      </c>
      <c r="I34" s="8">
        <v>8.1000000000000014</v>
      </c>
      <c r="J34" s="8">
        <v>7.333333333333333</v>
      </c>
      <c r="K34" s="8">
        <v>6.966666666666665</v>
      </c>
      <c r="L34" s="8">
        <v>7.3444444444444441</v>
      </c>
      <c r="M34" s="8">
        <v>69.531111111111116</v>
      </c>
    </row>
    <row r="35" spans="1:13" x14ac:dyDescent="0.3">
      <c r="A35" s="5" t="s">
        <v>67</v>
      </c>
      <c r="B35" s="6">
        <v>3</v>
      </c>
      <c r="C35" s="6" t="s">
        <v>14</v>
      </c>
      <c r="D35" s="5">
        <v>43754</v>
      </c>
      <c r="E35" s="7" t="str">
        <f t="shared" si="0"/>
        <v>TN_C0C_F3_BIM_II</v>
      </c>
      <c r="F35" s="8">
        <v>7.3999999999999995</v>
      </c>
      <c r="G35" s="8">
        <v>6.6888888888888891</v>
      </c>
      <c r="H35" s="8">
        <v>6.5111111111111111</v>
      </c>
      <c r="I35" s="8">
        <v>8.1624999999999996</v>
      </c>
      <c r="J35" s="8">
        <v>7.2000000000000011</v>
      </c>
      <c r="K35" s="8">
        <v>6.9666666666666668</v>
      </c>
      <c r="L35" s="8">
        <v>7.1333333333333337</v>
      </c>
      <c r="M35" s="8">
        <v>67.622500000000002</v>
      </c>
    </row>
    <row r="36" spans="1:13" x14ac:dyDescent="0.3">
      <c r="A36" s="5" t="s">
        <v>68</v>
      </c>
      <c r="B36" s="6">
        <v>1</v>
      </c>
      <c r="C36" s="6" t="s">
        <v>14</v>
      </c>
      <c r="D36" s="5">
        <v>43754</v>
      </c>
      <c r="E36" s="7" t="str">
        <f t="shared" si="0"/>
        <v>TN_C0D_F1_BIM_II</v>
      </c>
      <c r="F36" s="8">
        <v>6.92</v>
      </c>
      <c r="G36" s="8">
        <v>6.7900000000000009</v>
      </c>
      <c r="H36" s="8">
        <v>6.44</v>
      </c>
      <c r="I36" s="8">
        <v>7.7399999999999993</v>
      </c>
      <c r="J36" s="8">
        <v>7.35</v>
      </c>
      <c r="K36" s="8">
        <v>7.2099999999999991</v>
      </c>
      <c r="L36" s="8">
        <v>7</v>
      </c>
      <c r="M36" s="8">
        <v>67.195000000000007</v>
      </c>
    </row>
    <row r="37" spans="1:13" x14ac:dyDescent="0.3">
      <c r="A37" s="5" t="s">
        <v>68</v>
      </c>
      <c r="B37" s="6">
        <v>2</v>
      </c>
      <c r="C37" s="6" t="s">
        <v>14</v>
      </c>
      <c r="D37" s="5">
        <v>43754</v>
      </c>
      <c r="E37" s="7" t="str">
        <f t="shared" si="0"/>
        <v>TN_C0D_F2_BIM_II</v>
      </c>
      <c r="F37" s="8">
        <v>7.4</v>
      </c>
      <c r="G37" s="8">
        <v>8.1100000000000012</v>
      </c>
      <c r="H37" s="8">
        <v>8.32</v>
      </c>
      <c r="I37" s="8">
        <v>7.8000000000000016</v>
      </c>
      <c r="J37" s="8">
        <v>7.5900000000000007</v>
      </c>
      <c r="K37" s="8">
        <v>7.24</v>
      </c>
      <c r="L37" s="8">
        <v>7.15</v>
      </c>
      <c r="M37" s="8">
        <v>72.216000000000008</v>
      </c>
    </row>
    <row r="38" spans="1:13" x14ac:dyDescent="0.3">
      <c r="A38" s="10" t="s">
        <v>68</v>
      </c>
      <c r="B38" s="6">
        <v>3</v>
      </c>
      <c r="C38" s="6" t="s">
        <v>14</v>
      </c>
      <c r="D38" s="5">
        <v>43754</v>
      </c>
      <c r="E38" s="7" t="str">
        <f t="shared" si="0"/>
        <v>TN_C0D_F3_BIM_II</v>
      </c>
      <c r="F38" s="8">
        <v>6.8999999999999995</v>
      </c>
      <c r="G38" s="8">
        <v>7.5555555555555554</v>
      </c>
      <c r="H38" s="8">
        <v>6.8888888888888893</v>
      </c>
      <c r="I38" s="8">
        <v>7.7124999999999995</v>
      </c>
      <c r="J38" s="8">
        <v>7.5111111111111102</v>
      </c>
      <c r="K38" s="8">
        <v>7.5</v>
      </c>
      <c r="L38" s="8">
        <v>7.2666666666666675</v>
      </c>
      <c r="M38" s="8">
        <v>69.745833333333337</v>
      </c>
    </row>
    <row r="39" spans="1:13" x14ac:dyDescent="0.3">
      <c r="A39" s="5" t="s">
        <v>69</v>
      </c>
      <c r="B39" s="6">
        <v>1</v>
      </c>
      <c r="C39" s="6" t="s">
        <v>14</v>
      </c>
      <c r="D39" s="5">
        <v>43761</v>
      </c>
      <c r="E39" s="7" t="str">
        <f t="shared" si="0"/>
        <v>TN_C0E_F1_BIM_II</v>
      </c>
      <c r="F39" s="8">
        <v>7.58</v>
      </c>
      <c r="G39" s="8">
        <v>7.9799999999999995</v>
      </c>
      <c r="H39" s="8">
        <v>7.7600000000000007</v>
      </c>
      <c r="I39" s="8">
        <v>7.2111111111111104</v>
      </c>
      <c r="J39" s="8">
        <v>7.2099999999999991</v>
      </c>
      <c r="K39" s="8">
        <v>6.9700000000000006</v>
      </c>
      <c r="L39" s="8">
        <v>7.15</v>
      </c>
      <c r="M39" s="8">
        <v>69.817111111111103</v>
      </c>
    </row>
    <row r="40" spans="1:13" x14ac:dyDescent="0.3">
      <c r="A40" s="5" t="s">
        <v>69</v>
      </c>
      <c r="B40" s="6">
        <v>2</v>
      </c>
      <c r="C40" s="6" t="s">
        <v>14</v>
      </c>
      <c r="D40" s="5">
        <v>43761</v>
      </c>
      <c r="E40" s="7" t="str">
        <f t="shared" si="0"/>
        <v>TN_C0E_F2_BIM_II</v>
      </c>
      <c r="F40" s="8">
        <v>7.2999999999999989</v>
      </c>
      <c r="G40" s="8">
        <v>7.3</v>
      </c>
      <c r="H40" s="8">
        <v>8.1125000000000007</v>
      </c>
      <c r="I40" s="8">
        <v>8.4857142857142858</v>
      </c>
      <c r="J40" s="8">
        <v>6.7124999999999995</v>
      </c>
      <c r="K40" s="8">
        <v>6.85</v>
      </c>
      <c r="L40" s="8">
        <v>6.8142857142857141</v>
      </c>
      <c r="M40" s="8">
        <v>68.957499999999996</v>
      </c>
    </row>
    <row r="41" spans="1:13" x14ac:dyDescent="0.3">
      <c r="A41" s="5" t="s">
        <v>71</v>
      </c>
      <c r="B41" s="6">
        <v>1</v>
      </c>
      <c r="C41" s="6" t="s">
        <v>14</v>
      </c>
      <c r="D41" s="5">
        <v>43761</v>
      </c>
      <c r="E41" s="7" t="str">
        <f t="shared" si="0"/>
        <v>TN_C0F_F1_BIM_II</v>
      </c>
      <c r="F41" s="8">
        <v>7.3250000000000002</v>
      </c>
      <c r="G41" s="8">
        <v>5.7250000000000005</v>
      </c>
      <c r="H41" s="8">
        <v>5.8125</v>
      </c>
      <c r="I41" s="8">
        <v>5.333333333333333</v>
      </c>
      <c r="J41" s="8">
        <v>5.7749999999999995</v>
      </c>
      <c r="K41" s="8">
        <v>6.45</v>
      </c>
      <c r="L41" s="8">
        <v>5.4249999999999998</v>
      </c>
      <c r="M41" s="8">
        <v>56.589583333333337</v>
      </c>
    </row>
    <row r="42" spans="1:13" x14ac:dyDescent="0.3">
      <c r="A42" s="5" t="s">
        <v>72</v>
      </c>
      <c r="B42" s="6">
        <v>1</v>
      </c>
      <c r="C42" s="6" t="s">
        <v>14</v>
      </c>
      <c r="D42" s="5">
        <v>43761</v>
      </c>
      <c r="E42" s="7" t="str">
        <f t="shared" si="0"/>
        <v>TN_C0G_F1_BIM_II</v>
      </c>
      <c r="F42" s="8">
        <v>6.9799999999999995</v>
      </c>
      <c r="G42" s="8">
        <v>7.6899999999999995</v>
      </c>
      <c r="H42" s="8">
        <v>6.7299999999999995</v>
      </c>
      <c r="I42" s="8">
        <v>8.2333333333333325</v>
      </c>
      <c r="J42" s="8">
        <v>7.49</v>
      </c>
      <c r="K42" s="8">
        <v>7.01</v>
      </c>
      <c r="L42" s="8">
        <v>7.2900000000000009</v>
      </c>
      <c r="M42" s="8">
        <v>69.396333333333331</v>
      </c>
    </row>
    <row r="43" spans="1:13" x14ac:dyDescent="0.3">
      <c r="A43" s="5" t="s">
        <v>72</v>
      </c>
      <c r="B43" s="6">
        <v>2</v>
      </c>
      <c r="C43" s="6" t="s">
        <v>14</v>
      </c>
      <c r="D43" s="5">
        <v>43761</v>
      </c>
      <c r="E43" s="7" t="str">
        <f t="shared" si="0"/>
        <v>TN_C0G_F2_BIM_II</v>
      </c>
      <c r="F43" s="8">
        <v>8.0111111111111111</v>
      </c>
      <c r="G43" s="8">
        <v>8.0444444444444443</v>
      </c>
      <c r="H43" s="8">
        <v>6.8666666666666663</v>
      </c>
      <c r="I43" s="8">
        <v>5.6</v>
      </c>
      <c r="J43" s="8">
        <v>7.4444444444444446</v>
      </c>
      <c r="K43" s="8">
        <v>6.6333333333333329</v>
      </c>
      <c r="L43" s="8">
        <v>6.8666666666666671</v>
      </c>
      <c r="M43" s="8">
        <v>66.851111111111109</v>
      </c>
    </row>
    <row r="44" spans="1:13" x14ac:dyDescent="0.3">
      <c r="A44" s="10" t="s">
        <v>73</v>
      </c>
      <c r="B44" s="6">
        <v>1</v>
      </c>
      <c r="C44" s="6" t="s">
        <v>14</v>
      </c>
      <c r="D44" s="5">
        <v>43761</v>
      </c>
      <c r="E44" s="7" t="str">
        <f t="shared" si="0"/>
        <v>TN_C0H_F1_BIM_II</v>
      </c>
      <c r="F44" s="8">
        <v>6.9222222222222216</v>
      </c>
      <c r="G44" s="8">
        <v>6.822222222222222</v>
      </c>
      <c r="H44" s="8">
        <v>7.7111111111111121</v>
      </c>
      <c r="I44" s="8">
        <v>6.5875000000000004</v>
      </c>
      <c r="J44" s="8">
        <v>7.1222222222222218</v>
      </c>
      <c r="K44" s="8">
        <v>6.7111111111111121</v>
      </c>
      <c r="L44" s="8">
        <v>6.6111111111111107</v>
      </c>
      <c r="M44" s="8">
        <v>65.783055555555563</v>
      </c>
    </row>
    <row r="45" spans="1:13" x14ac:dyDescent="0.3">
      <c r="A45" s="5" t="s">
        <v>73</v>
      </c>
      <c r="B45" s="6">
        <v>2</v>
      </c>
      <c r="C45" s="6" t="s">
        <v>14</v>
      </c>
      <c r="D45" s="5">
        <v>43768</v>
      </c>
      <c r="E45" s="7" t="str">
        <f t="shared" si="0"/>
        <v>TN_C0H_F2_BIM_II</v>
      </c>
      <c r="F45" s="8">
        <v>7.5222222222222213</v>
      </c>
      <c r="G45" s="8">
        <v>7.0333333333333332</v>
      </c>
      <c r="H45" s="8">
        <v>5.8111111111111109</v>
      </c>
      <c r="I45" s="8">
        <v>7.4249999999999998</v>
      </c>
      <c r="J45" s="8">
        <v>7.366666666666668</v>
      </c>
      <c r="K45" s="8">
        <v>6.8555555555555561</v>
      </c>
      <c r="L45" s="8">
        <v>7.1222222222222218</v>
      </c>
      <c r="M45" s="8">
        <v>66.506111111111125</v>
      </c>
    </row>
    <row r="46" spans="1:13" x14ac:dyDescent="0.3">
      <c r="A46" s="5" t="s">
        <v>74</v>
      </c>
      <c r="B46" s="6">
        <v>1</v>
      </c>
      <c r="C46" s="6" t="s">
        <v>14</v>
      </c>
      <c r="D46" s="5">
        <v>43768</v>
      </c>
      <c r="E46" s="7" t="str">
        <f t="shared" si="0"/>
        <v>TN_C0I_F1_BIM_II</v>
      </c>
      <c r="F46" s="8">
        <v>7.0222222222222221</v>
      </c>
      <c r="G46" s="8">
        <v>6.2555555555555555</v>
      </c>
      <c r="H46" s="8">
        <v>7.133333333333332</v>
      </c>
      <c r="I46" s="8">
        <v>6.8124999999999991</v>
      </c>
      <c r="J46" s="8">
        <v>7.2222222222222223</v>
      </c>
      <c r="K46" s="8">
        <v>7.0444444444444443</v>
      </c>
      <c r="L46" s="8">
        <v>7.0666666666666664</v>
      </c>
      <c r="M46" s="8">
        <v>66.334722222222226</v>
      </c>
    </row>
    <row r="47" spans="1:13" x14ac:dyDescent="0.3">
      <c r="A47" s="5" t="s">
        <v>74</v>
      </c>
      <c r="B47" s="6">
        <v>2</v>
      </c>
      <c r="C47" s="6" t="s">
        <v>14</v>
      </c>
      <c r="D47" s="5">
        <v>43768</v>
      </c>
      <c r="E47" s="7" t="str">
        <f t="shared" si="0"/>
        <v>TN_C0I_F2_BIM_II</v>
      </c>
      <c r="F47" s="8">
        <v>7.1250000000000009</v>
      </c>
      <c r="G47" s="8">
        <v>7.7250000000000005</v>
      </c>
      <c r="H47" s="8">
        <v>7.8375000000000004</v>
      </c>
      <c r="I47" s="8">
        <v>6.7571428571428571</v>
      </c>
      <c r="J47" s="8">
        <v>6.4375000000000009</v>
      </c>
      <c r="K47" s="8">
        <v>6.6624999999999996</v>
      </c>
      <c r="L47" s="8">
        <v>5.9125000000000005</v>
      </c>
      <c r="M47" s="8">
        <v>64.783392857142857</v>
      </c>
    </row>
    <row r="48" spans="1:13" x14ac:dyDescent="0.3">
      <c r="A48" s="10" t="s">
        <v>75</v>
      </c>
      <c r="B48" s="6">
        <v>1</v>
      </c>
      <c r="C48" s="6" t="s">
        <v>14</v>
      </c>
      <c r="D48" s="5">
        <v>43768</v>
      </c>
      <c r="E48" s="7" t="str">
        <f t="shared" si="0"/>
        <v>TN_C0L_F1_BIM_II</v>
      </c>
      <c r="F48" s="8">
        <v>7.3000000000000007</v>
      </c>
      <c r="G48" s="8">
        <v>6.6111111111111107</v>
      </c>
      <c r="H48" s="8">
        <v>7.1222222222222218</v>
      </c>
      <c r="I48" s="8">
        <v>6.9249999999999998</v>
      </c>
      <c r="J48" s="8">
        <v>7.1777777777777771</v>
      </c>
      <c r="K48" s="8">
        <v>6.8666666666666663</v>
      </c>
      <c r="L48" s="8">
        <v>7.0222222222222221</v>
      </c>
      <c r="M48" s="8">
        <v>66.594999999999999</v>
      </c>
    </row>
    <row r="49" spans="1:13" x14ac:dyDescent="0.3">
      <c r="A49" s="5" t="s">
        <v>76</v>
      </c>
      <c r="B49" s="6">
        <v>1</v>
      </c>
      <c r="C49" s="6" t="s">
        <v>14</v>
      </c>
      <c r="D49" s="5">
        <v>43768</v>
      </c>
      <c r="E49" s="7" t="str">
        <f t="shared" si="0"/>
        <v>TN_C0M_F1_BIM_II</v>
      </c>
      <c r="F49" s="8">
        <v>7.31</v>
      </c>
      <c r="G49" s="8">
        <v>6.9799999999999995</v>
      </c>
      <c r="H49" s="8">
        <v>7.2300000000000013</v>
      </c>
      <c r="I49" s="8">
        <v>6.6999999999999993</v>
      </c>
      <c r="J49" s="8">
        <v>7.2</v>
      </c>
      <c r="K49" s="8">
        <v>6.83</v>
      </c>
      <c r="L49" s="8">
        <v>7.0300000000000011</v>
      </c>
      <c r="M49" s="8">
        <v>66.874000000000009</v>
      </c>
    </row>
    <row r="50" spans="1:13" x14ac:dyDescent="0.3">
      <c r="A50" s="5" t="s">
        <v>76</v>
      </c>
      <c r="B50" s="6">
        <v>2</v>
      </c>
      <c r="C50" s="6" t="s">
        <v>14</v>
      </c>
      <c r="D50" s="5">
        <v>43768</v>
      </c>
      <c r="E50" s="7" t="str">
        <f t="shared" si="0"/>
        <v>TN_C0M_F2_BIM_II</v>
      </c>
      <c r="F50" s="8">
        <v>7.4375</v>
      </c>
      <c r="G50" s="8">
        <v>5.3875000000000002</v>
      </c>
      <c r="H50" s="8">
        <v>7.0625000000000009</v>
      </c>
      <c r="I50" s="8">
        <v>5</v>
      </c>
      <c r="J50" s="8">
        <v>7.3625000000000007</v>
      </c>
      <c r="K50" s="8">
        <v>6.7374999999999989</v>
      </c>
      <c r="L50" s="8">
        <v>7.25</v>
      </c>
      <c r="M50" s="8">
        <v>63.974999999999994</v>
      </c>
    </row>
    <row r="51" spans="1:13" x14ac:dyDescent="0.3">
      <c r="A51" s="5" t="s">
        <v>76</v>
      </c>
      <c r="B51" s="6">
        <v>3</v>
      </c>
      <c r="C51" s="6" t="s">
        <v>14</v>
      </c>
      <c r="D51" s="5">
        <v>43775</v>
      </c>
      <c r="E51" s="7" t="str">
        <f t="shared" si="0"/>
        <v>TN_C0M_F3_BIM_II</v>
      </c>
      <c r="F51" s="8">
        <v>7.5874999999999995</v>
      </c>
      <c r="G51" s="8">
        <v>5.375</v>
      </c>
      <c r="H51" s="8">
        <v>7.1124999999999998</v>
      </c>
      <c r="I51" s="8">
        <v>7.3428571428571416</v>
      </c>
      <c r="J51" s="8">
        <v>6.8624999999999998</v>
      </c>
      <c r="K51" s="8">
        <v>6.7250000000000005</v>
      </c>
      <c r="L51" s="8">
        <v>6.8999999999999995</v>
      </c>
      <c r="M51" s="8">
        <v>65.05285714285715</v>
      </c>
    </row>
    <row r="52" spans="1:13" x14ac:dyDescent="0.3">
      <c r="A52" s="5" t="s">
        <v>76</v>
      </c>
      <c r="B52" s="6">
        <v>1</v>
      </c>
      <c r="C52" s="6" t="s">
        <v>14</v>
      </c>
      <c r="D52" s="5">
        <v>43775</v>
      </c>
      <c r="E52" s="7" t="str">
        <f t="shared" si="0"/>
        <v>TN_C0M_F1_BIM_II</v>
      </c>
      <c r="F52" s="8">
        <v>7.5399999999999991</v>
      </c>
      <c r="G52" s="8">
        <v>7.3100000000000005</v>
      </c>
      <c r="H52" s="8">
        <v>8</v>
      </c>
      <c r="I52" s="8">
        <v>7.0600000000000005</v>
      </c>
      <c r="J52" s="8">
        <v>7.55</v>
      </c>
      <c r="K52" s="8">
        <v>7.339999999999999</v>
      </c>
      <c r="L52" s="8">
        <v>7.57</v>
      </c>
      <c r="M52" s="8">
        <v>71.225999999999999</v>
      </c>
    </row>
    <row r="53" spans="1:13" x14ac:dyDescent="0.3">
      <c r="A53" s="5" t="s">
        <v>76</v>
      </c>
      <c r="B53" s="6">
        <v>2</v>
      </c>
      <c r="C53" s="6" t="s">
        <v>14</v>
      </c>
      <c r="D53" s="5">
        <v>43775</v>
      </c>
      <c r="E53" s="7" t="str">
        <f t="shared" si="0"/>
        <v>TN_C0M_F2_BIM_II</v>
      </c>
      <c r="F53" s="8">
        <v>6.7222222222222223</v>
      </c>
      <c r="G53" s="8">
        <v>7.6555555555555559</v>
      </c>
      <c r="H53" s="8">
        <v>7.2555555555555564</v>
      </c>
      <c r="I53" s="8">
        <v>7.2249999999999996</v>
      </c>
      <c r="J53" s="8">
        <v>7.3444444444444441</v>
      </c>
      <c r="K53" s="8">
        <v>7.2333333333333325</v>
      </c>
      <c r="L53" s="8">
        <v>7.2444444444444445</v>
      </c>
      <c r="M53" s="8">
        <v>68.856111111111119</v>
      </c>
    </row>
    <row r="54" spans="1:13" x14ac:dyDescent="0.3">
      <c r="A54" s="5" t="s">
        <v>76</v>
      </c>
      <c r="B54" s="6">
        <v>3</v>
      </c>
      <c r="C54" s="6" t="s">
        <v>14</v>
      </c>
      <c r="D54" s="5">
        <v>43775</v>
      </c>
      <c r="E54" s="7" t="str">
        <f t="shared" si="0"/>
        <v>TN_C0M_F3_BIM_II</v>
      </c>
      <c r="F54" s="8">
        <v>6.75</v>
      </c>
      <c r="G54" s="8">
        <v>7.8</v>
      </c>
      <c r="H54" s="8">
        <v>6.2749999999999995</v>
      </c>
      <c r="I54" s="8">
        <v>7.0571428571428561</v>
      </c>
      <c r="J54" s="8">
        <v>7.5500000000000007</v>
      </c>
      <c r="K54" s="8">
        <v>6.95</v>
      </c>
      <c r="L54" s="8">
        <v>7.0749999999999993</v>
      </c>
      <c r="M54" s="8">
        <v>67.137142857142848</v>
      </c>
    </row>
    <row r="55" spans="1:13" x14ac:dyDescent="0.3">
      <c r="A55" s="5" t="s">
        <v>77</v>
      </c>
      <c r="B55" s="6">
        <v>1</v>
      </c>
      <c r="C55" s="6" t="s">
        <v>14</v>
      </c>
      <c r="D55" s="5">
        <v>43775</v>
      </c>
      <c r="E55" s="7" t="str">
        <f t="shared" si="0"/>
        <v>TN_C0O_F1_BIM_II</v>
      </c>
      <c r="F55" s="8">
        <v>7.1875</v>
      </c>
      <c r="G55" s="8">
        <v>7.2250000000000005</v>
      </c>
      <c r="H55" s="8">
        <v>7.2125000000000004</v>
      </c>
      <c r="I55" s="8">
        <v>6.5</v>
      </c>
      <c r="J55" s="8">
        <v>7.5875000000000004</v>
      </c>
      <c r="K55" s="8">
        <v>6.7750000000000004</v>
      </c>
      <c r="L55" s="8">
        <v>7.375</v>
      </c>
      <c r="M55" s="8">
        <v>67.92</v>
      </c>
    </row>
    <row r="56" spans="1:13" x14ac:dyDescent="0.3">
      <c r="A56" s="5" t="s">
        <v>77</v>
      </c>
      <c r="B56" s="6">
        <v>2</v>
      </c>
      <c r="C56" s="6" t="s">
        <v>14</v>
      </c>
      <c r="D56" s="5">
        <v>43775</v>
      </c>
      <c r="E56" s="7" t="str">
        <f t="shared" si="0"/>
        <v>TN_C0O_F2_BIM_II</v>
      </c>
      <c r="F56" s="8">
        <v>7.4499999999999993</v>
      </c>
      <c r="G56" s="8">
        <v>5.7000000000000011</v>
      </c>
      <c r="H56" s="8">
        <v>5.5</v>
      </c>
      <c r="I56" s="8">
        <v>6.6285714285714281</v>
      </c>
      <c r="J56" s="8">
        <v>7.4875000000000007</v>
      </c>
      <c r="K56" s="8">
        <v>7.0750000000000002</v>
      </c>
      <c r="L56" s="8">
        <v>7.25</v>
      </c>
      <c r="M56" s="8">
        <v>64.717321428571438</v>
      </c>
    </row>
    <row r="57" spans="1:13" x14ac:dyDescent="0.3">
      <c r="A57" s="10" t="s">
        <v>78</v>
      </c>
      <c r="B57" s="6">
        <v>1</v>
      </c>
      <c r="C57" s="6" t="s">
        <v>14</v>
      </c>
      <c r="D57" s="5">
        <v>43782</v>
      </c>
      <c r="E57" s="7" t="str">
        <f t="shared" si="0"/>
        <v>TN_C0P_F1_BIM_II</v>
      </c>
      <c r="F57" s="8">
        <v>7.0444444444444443</v>
      </c>
      <c r="G57" s="8">
        <v>7.1111111111111107</v>
      </c>
      <c r="H57" s="8">
        <v>6.8000000000000007</v>
      </c>
      <c r="I57" s="8">
        <v>7.25</v>
      </c>
      <c r="J57" s="8">
        <v>7.366666666666668</v>
      </c>
      <c r="K57" s="8">
        <v>7.0888888888888886</v>
      </c>
      <c r="L57" s="8">
        <v>7.0444444444444452</v>
      </c>
      <c r="M57" s="8">
        <v>67.504444444444445</v>
      </c>
    </row>
    <row r="58" spans="1:13" x14ac:dyDescent="0.3">
      <c r="A58" s="5" t="s">
        <v>78</v>
      </c>
      <c r="B58" s="6">
        <v>2</v>
      </c>
      <c r="C58" s="6" t="s">
        <v>14</v>
      </c>
      <c r="D58" s="5">
        <v>43782</v>
      </c>
      <c r="E58" s="7" t="str">
        <f t="shared" si="0"/>
        <v>TN_C0P_F2_BIM_II</v>
      </c>
      <c r="F58" s="8">
        <v>7.0000000000000009</v>
      </c>
      <c r="G58" s="8">
        <v>6.3249999999999993</v>
      </c>
      <c r="H58" s="8">
        <v>7.3750000000000009</v>
      </c>
      <c r="I58" s="8">
        <v>7.5</v>
      </c>
      <c r="J58" s="8">
        <v>6.4499999999999993</v>
      </c>
      <c r="K58" s="8">
        <v>7.0875000000000004</v>
      </c>
      <c r="L58" s="8">
        <v>6.8</v>
      </c>
      <c r="M58" s="8">
        <v>65.694999999999993</v>
      </c>
    </row>
    <row r="59" spans="1:13" x14ac:dyDescent="0.3">
      <c r="A59" s="5" t="s">
        <v>79</v>
      </c>
      <c r="B59" s="6">
        <v>1</v>
      </c>
      <c r="C59" s="6" t="s">
        <v>14</v>
      </c>
      <c r="D59" s="5">
        <v>43782</v>
      </c>
      <c r="E59" s="7" t="str">
        <f t="shared" si="0"/>
        <v>TN_C0Q_F1_BIM_II</v>
      </c>
      <c r="F59" s="8">
        <v>7.15</v>
      </c>
      <c r="G59" s="8">
        <v>7.5400000000000009</v>
      </c>
      <c r="H59" s="8">
        <v>7.51</v>
      </c>
      <c r="I59" s="8">
        <v>6.83</v>
      </c>
      <c r="J59" s="8">
        <v>7.3</v>
      </c>
      <c r="K59" s="8">
        <v>6.83</v>
      </c>
      <c r="L59" s="8">
        <v>7.1099999999999994</v>
      </c>
      <c r="M59" s="8">
        <v>68.073999999999998</v>
      </c>
    </row>
    <row r="60" spans="1:13" x14ac:dyDescent="0.3">
      <c r="A60" s="5" t="s">
        <v>79</v>
      </c>
      <c r="B60" s="6">
        <v>2</v>
      </c>
      <c r="C60" s="6" t="s">
        <v>14</v>
      </c>
      <c r="D60" s="5">
        <v>43782</v>
      </c>
      <c r="E60" s="7" t="str">
        <f t="shared" si="0"/>
        <v>TN_C0Q_F2_BIM_II</v>
      </c>
      <c r="F60" s="8">
        <v>6.88</v>
      </c>
      <c r="G60" s="8">
        <v>6.16</v>
      </c>
      <c r="H60" s="8">
        <v>6.74</v>
      </c>
      <c r="I60" s="8">
        <v>6.7888888888888888</v>
      </c>
      <c r="J60" s="8">
        <v>7.1899999999999995</v>
      </c>
      <c r="K60" s="8">
        <v>7.0199999999999987</v>
      </c>
      <c r="L60" s="8">
        <v>7.3899999999999988</v>
      </c>
      <c r="M60" s="8">
        <v>66.012888888888881</v>
      </c>
    </row>
    <row r="61" spans="1:13" x14ac:dyDescent="0.3">
      <c r="A61" s="5" t="s">
        <v>79</v>
      </c>
      <c r="B61" s="6">
        <v>3</v>
      </c>
      <c r="C61" s="6" t="s">
        <v>14</v>
      </c>
      <c r="D61" s="5">
        <v>43782</v>
      </c>
      <c r="E61" s="7" t="str">
        <f t="shared" si="0"/>
        <v>TN_C0Q_F3_BIM_II</v>
      </c>
      <c r="F61" s="8">
        <v>7.3444444444444441</v>
      </c>
      <c r="G61" s="8">
        <v>6.22</v>
      </c>
      <c r="H61" s="8">
        <v>7.71</v>
      </c>
      <c r="I61" s="8">
        <v>6.5250000000000004</v>
      </c>
      <c r="J61" s="8">
        <v>7.2444444444444445</v>
      </c>
      <c r="K61" s="8">
        <v>6.6333333333333329</v>
      </c>
      <c r="L61" s="8">
        <v>6.822222222222222</v>
      </c>
      <c r="M61" s="8">
        <v>65.965777777777774</v>
      </c>
    </row>
    <row r="62" spans="1:13" x14ac:dyDescent="0.3">
      <c r="A62" s="5" t="s">
        <v>80</v>
      </c>
      <c r="B62" s="6">
        <v>1</v>
      </c>
      <c r="C62" s="6" t="s">
        <v>14</v>
      </c>
      <c r="D62" s="5">
        <v>43782</v>
      </c>
      <c r="E62" s="7" t="str">
        <f t="shared" si="0"/>
        <v>TN_C0R_F1_BIM_II</v>
      </c>
      <c r="F62" s="8">
        <v>7.4750000000000005</v>
      </c>
      <c r="G62" s="8">
        <v>7.2000000000000011</v>
      </c>
      <c r="H62" s="8">
        <v>7.7124999999999995</v>
      </c>
      <c r="I62" s="8">
        <v>6.666666666666667</v>
      </c>
      <c r="J62" s="8">
        <v>7.2125000000000004</v>
      </c>
      <c r="K62" s="8">
        <v>6.9625000000000004</v>
      </c>
      <c r="L62" s="8">
        <v>7.15</v>
      </c>
      <c r="M62" s="8">
        <v>68.316666666666663</v>
      </c>
    </row>
    <row r="63" spans="1:13" x14ac:dyDescent="0.3">
      <c r="A63" s="5" t="s">
        <v>72</v>
      </c>
      <c r="B63" s="6">
        <v>1</v>
      </c>
      <c r="C63" s="6" t="s">
        <v>15</v>
      </c>
      <c r="D63" s="5">
        <v>43789</v>
      </c>
      <c r="E63" s="7" t="str">
        <f t="shared" si="0"/>
        <v>TN_C0G_F1_BIM_III</v>
      </c>
      <c r="F63" s="8">
        <v>7.6</v>
      </c>
      <c r="G63" s="8">
        <v>7.8250000000000011</v>
      </c>
      <c r="H63" s="8">
        <v>7.0875000000000004</v>
      </c>
      <c r="I63" s="8">
        <v>7</v>
      </c>
      <c r="J63" s="8">
        <v>7.3124999999999991</v>
      </c>
      <c r="K63" s="8">
        <v>7.0124999999999993</v>
      </c>
      <c r="L63" s="8">
        <v>7.1374999999999993</v>
      </c>
      <c r="M63" s="8">
        <v>68.826249999999987</v>
      </c>
    </row>
    <row r="64" spans="1:13" x14ac:dyDescent="0.3">
      <c r="A64" s="5" t="s">
        <v>74</v>
      </c>
      <c r="B64" s="6">
        <v>1</v>
      </c>
      <c r="C64" s="6" t="s">
        <v>15</v>
      </c>
      <c r="D64" s="5">
        <v>43789</v>
      </c>
      <c r="E64" s="7" t="str">
        <f t="shared" si="0"/>
        <v>TN_C0I_F1_BIM_III</v>
      </c>
      <c r="F64" s="8">
        <v>7.2374999999999998</v>
      </c>
      <c r="G64" s="8">
        <v>7.6875</v>
      </c>
      <c r="H64" s="8">
        <v>8.2750000000000004</v>
      </c>
      <c r="I64" s="8">
        <v>7</v>
      </c>
      <c r="J64" s="8">
        <v>7.5250000000000004</v>
      </c>
      <c r="K64" s="8">
        <v>6.6374999999999993</v>
      </c>
      <c r="L64" s="8">
        <v>7.0750000000000002</v>
      </c>
      <c r="M64" s="8">
        <v>69.45</v>
      </c>
    </row>
    <row r="65" spans="1:13" x14ac:dyDescent="0.3">
      <c r="A65" s="5" t="s">
        <v>76</v>
      </c>
      <c r="B65" s="6">
        <v>1</v>
      </c>
      <c r="C65" s="6" t="s">
        <v>15</v>
      </c>
      <c r="D65" s="5">
        <v>43789</v>
      </c>
      <c r="E65" s="7" t="str">
        <f t="shared" si="0"/>
        <v>TN_C0M_F1_BIM_III</v>
      </c>
      <c r="F65" s="8">
        <v>7.0000000000000009</v>
      </c>
      <c r="G65" s="8">
        <v>7.3374999999999995</v>
      </c>
      <c r="H65" s="8">
        <v>7.7624999999999993</v>
      </c>
      <c r="I65" s="8">
        <v>7.745454545454546</v>
      </c>
      <c r="J65" s="8">
        <v>7.4124999999999996</v>
      </c>
      <c r="K65" s="8">
        <v>7.3624999999999989</v>
      </c>
      <c r="L65" s="8">
        <v>7.4749999999999996</v>
      </c>
      <c r="M65" s="8">
        <v>70.735454545454544</v>
      </c>
    </row>
    <row r="66" spans="1:13" x14ac:dyDescent="0.3">
      <c r="A66" s="5" t="s">
        <v>77</v>
      </c>
      <c r="B66" s="6">
        <v>1</v>
      </c>
      <c r="C66" s="6" t="s">
        <v>15</v>
      </c>
      <c r="D66" s="5">
        <v>43789</v>
      </c>
      <c r="E66" s="7" t="str">
        <f t="shared" ref="E66:E129" si="1">CONCATENATE(A66,"_F",B66,"_BIM_",C66)</f>
        <v>TN_C0O_F1_BIM_III</v>
      </c>
      <c r="F66" s="8">
        <v>7.2500000000000009</v>
      </c>
      <c r="G66" s="8">
        <v>7.1624999999999996</v>
      </c>
      <c r="H66" s="8">
        <v>8.0374999999999996</v>
      </c>
      <c r="I66" s="8">
        <v>7.8818181818181818</v>
      </c>
      <c r="J66" s="8">
        <v>7.4249999999999998</v>
      </c>
      <c r="K66" s="8">
        <v>7.6125000000000007</v>
      </c>
      <c r="L66" s="8">
        <v>6.9875000000000007</v>
      </c>
      <c r="M66" s="8">
        <v>70.946818181818173</v>
      </c>
    </row>
    <row r="67" spans="1:13" x14ac:dyDescent="0.3">
      <c r="A67" s="5" t="s">
        <v>78</v>
      </c>
      <c r="B67" s="6">
        <v>1</v>
      </c>
      <c r="C67" s="6" t="s">
        <v>15</v>
      </c>
      <c r="D67" s="5">
        <v>43789</v>
      </c>
      <c r="E67" s="7" t="str">
        <f t="shared" si="1"/>
        <v>TN_C0P_F1_BIM_III</v>
      </c>
      <c r="F67" s="8">
        <v>7.1875</v>
      </c>
      <c r="G67" s="8">
        <v>7.6</v>
      </c>
      <c r="H67" s="8">
        <v>7.5749999999999993</v>
      </c>
      <c r="I67" s="8">
        <v>7.036363636363637</v>
      </c>
      <c r="J67" s="8">
        <v>7.3250000000000002</v>
      </c>
      <c r="K67" s="8">
        <v>7.3750000000000009</v>
      </c>
      <c r="L67" s="8">
        <v>7.1375000000000002</v>
      </c>
      <c r="M67" s="8">
        <v>69.532613636363635</v>
      </c>
    </row>
    <row r="68" spans="1:13" x14ac:dyDescent="0.3">
      <c r="A68" s="5" t="s">
        <v>80</v>
      </c>
      <c r="B68" s="6">
        <v>1</v>
      </c>
      <c r="C68" s="6" t="s">
        <v>15</v>
      </c>
      <c r="D68" s="5">
        <v>43789</v>
      </c>
      <c r="E68" s="7" t="str">
        <f t="shared" si="1"/>
        <v>TN_C0R_F1_BIM_III</v>
      </c>
      <c r="F68" s="8">
        <v>7.0874999999999995</v>
      </c>
      <c r="G68" s="8">
        <v>5.9249999999999998</v>
      </c>
      <c r="H68" s="8">
        <v>7.3374999999999995</v>
      </c>
      <c r="I68" s="8">
        <v>7.4909090909090912</v>
      </c>
      <c r="J68" s="8">
        <v>7.45</v>
      </c>
      <c r="K68" s="8">
        <v>6.9250000000000007</v>
      </c>
      <c r="L68" s="8">
        <v>7.0750000000000002</v>
      </c>
      <c r="M68" s="8">
        <v>67.199659090909094</v>
      </c>
    </row>
    <row r="69" spans="1:13" x14ac:dyDescent="0.3">
      <c r="A69" s="5" t="s">
        <v>64</v>
      </c>
      <c r="B69" s="6">
        <v>1</v>
      </c>
      <c r="C69" s="6" t="s">
        <v>15</v>
      </c>
      <c r="D69" s="5">
        <v>43796</v>
      </c>
      <c r="E69" s="7" t="str">
        <f t="shared" si="1"/>
        <v>TN_C0A_F1_BIM_III</v>
      </c>
      <c r="F69" s="8">
        <v>6.8454545454545448</v>
      </c>
      <c r="G69" s="8">
        <v>6.5818181818181811</v>
      </c>
      <c r="H69" s="8">
        <v>6.9181818181818189</v>
      </c>
      <c r="I69" s="8">
        <v>5.75</v>
      </c>
      <c r="J69" s="8">
        <v>7.3090909090909095</v>
      </c>
      <c r="K69" s="8">
        <v>7.2363636363636354</v>
      </c>
      <c r="L69" s="8">
        <v>7.3272727272727272</v>
      </c>
      <c r="M69" s="8">
        <v>66.078181818181818</v>
      </c>
    </row>
    <row r="70" spans="1:13" x14ac:dyDescent="0.3">
      <c r="A70" s="5" t="s">
        <v>66</v>
      </c>
      <c r="B70" s="6">
        <v>1</v>
      </c>
      <c r="C70" s="6" t="s">
        <v>15</v>
      </c>
      <c r="D70" s="5">
        <v>43796</v>
      </c>
      <c r="E70" s="7" t="str">
        <f t="shared" si="1"/>
        <v>TN_C0B_F1_BIM_III</v>
      </c>
      <c r="F70" s="8">
        <v>7.0272727272727273</v>
      </c>
      <c r="G70" s="8">
        <v>6.463636363636363</v>
      </c>
      <c r="H70" s="8">
        <v>7.6909090909090914</v>
      </c>
      <c r="I70" s="8">
        <v>8</v>
      </c>
      <c r="J70" s="8">
        <v>6.9727272727272727</v>
      </c>
      <c r="K70" s="8">
        <v>6.8</v>
      </c>
      <c r="L70" s="8">
        <v>6.7636363636363628</v>
      </c>
      <c r="M70" s="8">
        <v>67.080909090909088</v>
      </c>
    </row>
    <row r="71" spans="1:13" x14ac:dyDescent="0.3">
      <c r="A71" s="5" t="s">
        <v>67</v>
      </c>
      <c r="B71" s="6">
        <v>1</v>
      </c>
      <c r="C71" s="6" t="s">
        <v>15</v>
      </c>
      <c r="D71" s="5">
        <v>43796</v>
      </c>
      <c r="E71" s="7" t="str">
        <f t="shared" si="1"/>
        <v>TN_C0C_F1_BIM_III</v>
      </c>
      <c r="F71" s="8">
        <v>7.1818181818181817</v>
      </c>
      <c r="G71" s="8">
        <v>6.5454545454545459</v>
      </c>
      <c r="H71" s="8">
        <v>6.9181818181818189</v>
      </c>
      <c r="I71" s="8">
        <v>8</v>
      </c>
      <c r="J71" s="8">
        <v>7.3000000000000007</v>
      </c>
      <c r="K71" s="8">
        <v>7.0909090909090908</v>
      </c>
      <c r="L71" s="8">
        <v>6.8727272727272721</v>
      </c>
      <c r="M71" s="8">
        <v>67.578181818181818</v>
      </c>
    </row>
    <row r="72" spans="1:13" x14ac:dyDescent="0.3">
      <c r="A72" s="5" t="s">
        <v>76</v>
      </c>
      <c r="B72" s="6">
        <v>1</v>
      </c>
      <c r="C72" s="6" t="s">
        <v>15</v>
      </c>
      <c r="D72" s="5">
        <v>43796</v>
      </c>
      <c r="E72" s="7" t="str">
        <f t="shared" si="1"/>
        <v>TN_C0M_F1_BIM_III</v>
      </c>
      <c r="F72" s="8">
        <v>7.2636363636363646</v>
      </c>
      <c r="G72" s="8">
        <v>5.4999999999999991</v>
      </c>
      <c r="H72" s="8">
        <v>7.3</v>
      </c>
      <c r="I72" s="8">
        <v>5.666666666666667</v>
      </c>
      <c r="J72" s="8">
        <v>7.290909090909091</v>
      </c>
      <c r="K72" s="8">
        <v>7.1818181818181817</v>
      </c>
      <c r="L72" s="8">
        <v>7.0181818181818185</v>
      </c>
      <c r="M72" s="8">
        <v>65.173030303030302</v>
      </c>
    </row>
    <row r="73" spans="1:13" x14ac:dyDescent="0.3">
      <c r="A73" s="5" t="s">
        <v>76</v>
      </c>
      <c r="B73" s="6">
        <v>2</v>
      </c>
      <c r="C73" s="6" t="s">
        <v>15</v>
      </c>
      <c r="D73" s="5">
        <v>43796</v>
      </c>
      <c r="E73" s="7" t="str">
        <f t="shared" si="1"/>
        <v>TN_C0M_F2_BIM_III</v>
      </c>
      <c r="F73" s="8">
        <v>6.963636363636363</v>
      </c>
      <c r="G73" s="8">
        <v>6.9545454545454541</v>
      </c>
      <c r="H73" s="8">
        <v>7.4363636363636365</v>
      </c>
      <c r="I73" s="8">
        <v>8</v>
      </c>
      <c r="J73" s="8">
        <v>7.6636363636363631</v>
      </c>
      <c r="K73" s="8">
        <v>7.3181818181818183</v>
      </c>
      <c r="L73" s="8">
        <v>7.5545454545454556</v>
      </c>
      <c r="M73" s="8">
        <v>70.629090909090905</v>
      </c>
    </row>
    <row r="74" spans="1:13" x14ac:dyDescent="0.3">
      <c r="A74" s="5" t="s">
        <v>79</v>
      </c>
      <c r="B74" s="6">
        <v>1</v>
      </c>
      <c r="C74" s="6" t="s">
        <v>15</v>
      </c>
      <c r="D74" s="5">
        <v>43796</v>
      </c>
      <c r="E74" s="7" t="str">
        <f t="shared" si="1"/>
        <v>TN_C0Q_F1_BIM_III</v>
      </c>
      <c r="F74" s="8">
        <v>7.5727272727272723</v>
      </c>
      <c r="G74" s="8">
        <v>7.8181818181818183</v>
      </c>
      <c r="H74" s="8">
        <v>7.5181818181818194</v>
      </c>
      <c r="I74" s="8">
        <v>6.5</v>
      </c>
      <c r="J74" s="8">
        <v>7.3000000000000007</v>
      </c>
      <c r="K74" s="8">
        <v>6.7818181818181813</v>
      </c>
      <c r="L74" s="8">
        <v>6.8272727272727272</v>
      </c>
      <c r="M74" s="8">
        <v>67.88818181818182</v>
      </c>
    </row>
    <row r="75" spans="1:13" x14ac:dyDescent="0.3">
      <c r="A75" s="5" t="s">
        <v>68</v>
      </c>
      <c r="B75" s="6">
        <v>1</v>
      </c>
      <c r="C75" s="6" t="s">
        <v>15</v>
      </c>
      <c r="D75" s="5">
        <v>43803</v>
      </c>
      <c r="E75" s="7" t="str">
        <f t="shared" si="1"/>
        <v>TN_C0D_F1_BIM_III</v>
      </c>
      <c r="F75" s="8">
        <v>7.0000000000000009</v>
      </c>
      <c r="G75" s="8">
        <v>8.1875</v>
      </c>
      <c r="H75" s="8">
        <v>8.125</v>
      </c>
      <c r="I75" s="8">
        <v>7.8999999999999995</v>
      </c>
      <c r="J75" s="8">
        <v>7.3375000000000004</v>
      </c>
      <c r="K75" s="8">
        <v>6.5625</v>
      </c>
      <c r="L75" s="8">
        <v>6.9624999999999995</v>
      </c>
      <c r="M75" s="8">
        <v>69.772499999999994</v>
      </c>
    </row>
    <row r="76" spans="1:13" x14ac:dyDescent="0.3">
      <c r="A76" s="5" t="s">
        <v>69</v>
      </c>
      <c r="B76" s="6">
        <v>1</v>
      </c>
      <c r="C76" s="6" t="s">
        <v>15</v>
      </c>
      <c r="D76" s="5">
        <v>43803</v>
      </c>
      <c r="E76" s="7" t="str">
        <f t="shared" si="1"/>
        <v>TN_C0E_F1_BIM_III</v>
      </c>
      <c r="F76" s="8">
        <v>6.85</v>
      </c>
      <c r="G76" s="8">
        <v>8.0375000000000014</v>
      </c>
      <c r="H76" s="8">
        <v>8.1</v>
      </c>
      <c r="I76" s="8">
        <v>8.1714285714285708</v>
      </c>
      <c r="J76" s="8">
        <v>6.7750000000000004</v>
      </c>
      <c r="K76" s="8">
        <v>7.2374999999999998</v>
      </c>
      <c r="L76" s="8">
        <v>6.5249999999999995</v>
      </c>
      <c r="M76" s="8">
        <v>69.226428571428571</v>
      </c>
    </row>
    <row r="77" spans="1:13" x14ac:dyDescent="0.3">
      <c r="A77" s="5" t="s">
        <v>73</v>
      </c>
      <c r="B77" s="6">
        <v>1</v>
      </c>
      <c r="C77" s="6" t="s">
        <v>15</v>
      </c>
      <c r="D77" s="5">
        <v>43803</v>
      </c>
      <c r="E77" s="7" t="str">
        <f t="shared" si="1"/>
        <v>TN_C0H_F1_BIM_III</v>
      </c>
      <c r="F77" s="8">
        <v>7.2249999999999996</v>
      </c>
      <c r="G77" s="8">
        <v>6.7</v>
      </c>
      <c r="H77" s="8">
        <v>7.375</v>
      </c>
      <c r="I77" s="8">
        <v>7.2571428571428571</v>
      </c>
      <c r="J77" s="8">
        <v>7.1999999999999993</v>
      </c>
      <c r="K77" s="8">
        <v>7.0999999999999988</v>
      </c>
      <c r="L77" s="8">
        <v>7.2249999999999996</v>
      </c>
      <c r="M77" s="8">
        <v>68.07214285714285</v>
      </c>
    </row>
    <row r="78" spans="1:13" x14ac:dyDescent="0.3">
      <c r="A78" s="5" t="s">
        <v>74</v>
      </c>
      <c r="B78" s="6">
        <v>2</v>
      </c>
      <c r="C78" s="6" t="s">
        <v>15</v>
      </c>
      <c r="D78" s="5">
        <v>43803</v>
      </c>
      <c r="E78" s="7" t="str">
        <f t="shared" si="1"/>
        <v>TN_C0I_F2_BIM_III</v>
      </c>
      <c r="F78" s="8">
        <v>7.1875</v>
      </c>
      <c r="G78" s="8">
        <v>6.6624999999999996</v>
      </c>
      <c r="H78" s="8">
        <v>7.5874999999999986</v>
      </c>
      <c r="I78" s="8">
        <v>7.1000000000000005</v>
      </c>
      <c r="J78" s="8">
        <v>7.25</v>
      </c>
      <c r="K78" s="8">
        <v>7.0125000000000002</v>
      </c>
      <c r="L78" s="8">
        <v>7.0000000000000009</v>
      </c>
      <c r="M78" s="8">
        <v>67.66125000000001</v>
      </c>
    </row>
    <row r="79" spans="1:13" x14ac:dyDescent="0.3">
      <c r="A79" s="5" t="s">
        <v>78</v>
      </c>
      <c r="B79" s="6">
        <v>2</v>
      </c>
      <c r="C79" s="6" t="s">
        <v>15</v>
      </c>
      <c r="D79" s="5">
        <v>43803</v>
      </c>
      <c r="E79" s="7" t="str">
        <f t="shared" si="1"/>
        <v>TN_C0P_F2_BIM_III</v>
      </c>
      <c r="F79" s="8">
        <v>7.2</v>
      </c>
      <c r="G79" s="8">
        <v>7.7</v>
      </c>
      <c r="H79" s="8">
        <v>7.6125000000000007</v>
      </c>
      <c r="I79" s="8">
        <v>6.3142857142857149</v>
      </c>
      <c r="J79" s="8">
        <v>7.2374999999999989</v>
      </c>
      <c r="K79" s="8">
        <v>7.0374999999999996</v>
      </c>
      <c r="L79" s="8">
        <v>7.2749999999999995</v>
      </c>
      <c r="M79" s="8">
        <v>68.449285714285708</v>
      </c>
    </row>
    <row r="80" spans="1:13" x14ac:dyDescent="0.3">
      <c r="A80" s="5" t="s">
        <v>79</v>
      </c>
      <c r="B80" s="6">
        <v>2</v>
      </c>
      <c r="C80" s="6" t="s">
        <v>15</v>
      </c>
      <c r="D80" s="5">
        <v>43803</v>
      </c>
      <c r="E80" s="7" t="str">
        <f t="shared" si="1"/>
        <v>TN_C0Q_F2_BIM_III</v>
      </c>
      <c r="F80" s="8">
        <v>7.4499999999999993</v>
      </c>
      <c r="G80" s="8">
        <v>7.4125000000000005</v>
      </c>
      <c r="H80" s="8">
        <v>7.4875000000000007</v>
      </c>
      <c r="I80" s="8">
        <v>6.9571428571428573</v>
      </c>
      <c r="J80" s="8">
        <v>7.0625</v>
      </c>
      <c r="K80" s="8">
        <v>6.3374999999999995</v>
      </c>
      <c r="L80" s="8">
        <v>6.6124999999999998</v>
      </c>
      <c r="M80" s="8">
        <v>66.208392857142854</v>
      </c>
    </row>
    <row r="81" spans="1:13" x14ac:dyDescent="0.3">
      <c r="A81" s="5" t="s">
        <v>64</v>
      </c>
      <c r="B81" s="6">
        <v>2</v>
      </c>
      <c r="C81" s="6" t="s">
        <v>15</v>
      </c>
      <c r="D81" s="5">
        <v>43805</v>
      </c>
      <c r="E81" s="7" t="str">
        <f t="shared" si="1"/>
        <v>TN_C0A_F2_BIM_III</v>
      </c>
      <c r="F81" s="8">
        <v>6.9600000000000009</v>
      </c>
      <c r="G81" s="8">
        <v>6.9</v>
      </c>
      <c r="H81" s="8">
        <v>6.87</v>
      </c>
      <c r="I81" s="8">
        <v>6.2124999999999995</v>
      </c>
      <c r="J81" s="8">
        <v>7.3100000000000005</v>
      </c>
      <c r="K81" s="8">
        <v>7.0400000000000009</v>
      </c>
      <c r="L81" s="8">
        <v>7.0600000000000005</v>
      </c>
      <c r="M81" s="8">
        <v>66.104500000000002</v>
      </c>
    </row>
    <row r="82" spans="1:13" x14ac:dyDescent="0.3">
      <c r="A82" s="5" t="s">
        <v>67</v>
      </c>
      <c r="B82" s="6">
        <v>2</v>
      </c>
      <c r="C82" s="6" t="s">
        <v>15</v>
      </c>
      <c r="D82" s="5">
        <v>43805</v>
      </c>
      <c r="E82" s="7" t="str">
        <f t="shared" si="1"/>
        <v>TN_C0C_F2_BIM_III</v>
      </c>
      <c r="F82" s="8">
        <v>7.33</v>
      </c>
      <c r="G82" s="8">
        <v>7.0399999999999991</v>
      </c>
      <c r="H82" s="8">
        <v>6.8</v>
      </c>
      <c r="I82" s="8">
        <v>7.9749999999999996</v>
      </c>
      <c r="J82" s="8">
        <v>7.3999999999999986</v>
      </c>
      <c r="K82" s="8">
        <v>7.2799999999999994</v>
      </c>
      <c r="L82" s="8">
        <v>7.15</v>
      </c>
      <c r="M82" s="8">
        <v>69.024000000000001</v>
      </c>
    </row>
    <row r="83" spans="1:13" x14ac:dyDescent="0.3">
      <c r="A83" s="5" t="s">
        <v>68</v>
      </c>
      <c r="B83" s="6">
        <v>3</v>
      </c>
      <c r="C83" s="6" t="s">
        <v>15</v>
      </c>
      <c r="D83" s="5">
        <v>43805</v>
      </c>
      <c r="E83" s="7" t="str">
        <f t="shared" si="1"/>
        <v>TN_C0D_F3_BIM_III</v>
      </c>
      <c r="F83" s="8">
        <v>7.2699999999999987</v>
      </c>
      <c r="G83" s="8">
        <v>7.57</v>
      </c>
      <c r="H83" s="8">
        <v>7.7399999999999993</v>
      </c>
      <c r="I83" s="8">
        <v>7.15</v>
      </c>
      <c r="J83" s="8">
        <v>7.44</v>
      </c>
      <c r="K83" s="8">
        <v>6.88</v>
      </c>
      <c r="L83" s="8">
        <v>6.76</v>
      </c>
      <c r="M83" s="8">
        <v>68.576000000000008</v>
      </c>
    </row>
    <row r="84" spans="1:13" x14ac:dyDescent="0.3">
      <c r="A84" s="5" t="s">
        <v>76</v>
      </c>
      <c r="B84" s="6">
        <v>2</v>
      </c>
      <c r="C84" s="6" t="s">
        <v>15</v>
      </c>
      <c r="D84" s="5">
        <v>43805</v>
      </c>
      <c r="E84" s="7" t="str">
        <f t="shared" si="1"/>
        <v>TN_C0M_F2_BIM_III</v>
      </c>
      <c r="F84" s="8">
        <v>7.42</v>
      </c>
      <c r="G84" s="8">
        <v>6.03</v>
      </c>
      <c r="H84" s="8">
        <v>7.38</v>
      </c>
      <c r="I84" s="8">
        <v>6.0125000000000002</v>
      </c>
      <c r="J84" s="8">
        <v>7.1099999999999994</v>
      </c>
      <c r="K84" s="8">
        <v>7.3900000000000006</v>
      </c>
      <c r="L84" s="8">
        <v>6.8899999999999988</v>
      </c>
      <c r="M84" s="8">
        <v>66.158499999999989</v>
      </c>
    </row>
    <row r="85" spans="1:13" x14ac:dyDescent="0.3">
      <c r="A85" s="5" t="s">
        <v>76</v>
      </c>
      <c r="B85" s="6">
        <v>3</v>
      </c>
      <c r="C85" s="6" t="s">
        <v>15</v>
      </c>
      <c r="D85" s="5">
        <v>43805</v>
      </c>
      <c r="E85" s="7" t="str">
        <f t="shared" si="1"/>
        <v>TN_C0M_F3_BIM_III</v>
      </c>
      <c r="F85" s="8">
        <v>6.8777777777777773</v>
      </c>
      <c r="G85" s="8">
        <v>7.339999999999999</v>
      </c>
      <c r="H85" s="8">
        <v>7.58</v>
      </c>
      <c r="I85" s="8">
        <v>7.0874999999999995</v>
      </c>
      <c r="J85" s="8">
        <v>7.2799999999999985</v>
      </c>
      <c r="K85" s="8">
        <v>6.7900000000000009</v>
      </c>
      <c r="L85" s="8">
        <v>6.68</v>
      </c>
      <c r="M85" s="8">
        <v>67.113277777777768</v>
      </c>
    </row>
    <row r="86" spans="1:13" x14ac:dyDescent="0.3">
      <c r="A86" s="5" t="s">
        <v>77</v>
      </c>
      <c r="B86" s="6">
        <v>2</v>
      </c>
      <c r="C86" s="6" t="s">
        <v>15</v>
      </c>
      <c r="D86" s="5">
        <v>43805</v>
      </c>
      <c r="E86" s="7" t="str">
        <f t="shared" si="1"/>
        <v>TN_C0O_F2_BIM_III</v>
      </c>
      <c r="F86" s="8">
        <v>6.75</v>
      </c>
      <c r="G86" s="8">
        <v>5.68</v>
      </c>
      <c r="H86" s="8">
        <v>7.24</v>
      </c>
      <c r="I86" s="8">
        <v>7.4375</v>
      </c>
      <c r="J86" s="8">
        <v>6.8400000000000007</v>
      </c>
      <c r="K86" s="8">
        <v>7.0600000000000005</v>
      </c>
      <c r="L86" s="8">
        <v>6.6</v>
      </c>
      <c r="M86" s="8">
        <v>64.835499999999996</v>
      </c>
    </row>
    <row r="87" spans="1:13" x14ac:dyDescent="0.3">
      <c r="A87" s="5" t="s">
        <v>64</v>
      </c>
      <c r="B87" s="6">
        <v>3</v>
      </c>
      <c r="C87" s="6" t="s">
        <v>15</v>
      </c>
      <c r="D87" s="5">
        <v>43810</v>
      </c>
      <c r="E87" s="7" t="str">
        <f t="shared" si="1"/>
        <v>TN_C0A_F3_BIM_III</v>
      </c>
      <c r="F87" s="9">
        <v>6.9249999999999998</v>
      </c>
      <c r="G87" s="9">
        <v>7.1999999999999993</v>
      </c>
      <c r="H87" s="9">
        <v>6.4749999999999996</v>
      </c>
      <c r="I87" s="9">
        <v>5.8250000000000002</v>
      </c>
      <c r="J87" s="7">
        <v>7.4124999999999996</v>
      </c>
      <c r="K87" s="6">
        <v>6.5125000000000002</v>
      </c>
      <c r="L87" s="6">
        <v>6.9625000000000004</v>
      </c>
      <c r="M87" s="9">
        <v>64.527500000000003</v>
      </c>
    </row>
    <row r="88" spans="1:13" x14ac:dyDescent="0.3">
      <c r="A88" s="5" t="s">
        <v>67</v>
      </c>
      <c r="B88" s="6">
        <v>3</v>
      </c>
      <c r="C88" s="6" t="s">
        <v>15</v>
      </c>
      <c r="D88" s="5">
        <v>43810</v>
      </c>
      <c r="E88" s="7" t="str">
        <f t="shared" si="1"/>
        <v>TN_C0C_F3_BIM_III</v>
      </c>
      <c r="F88" s="9">
        <v>7.1624999999999996</v>
      </c>
      <c r="G88" s="9">
        <v>8.0875000000000004</v>
      </c>
      <c r="H88" s="9">
        <v>8.2000000000000011</v>
      </c>
      <c r="I88" s="9">
        <v>8.1874999999999982</v>
      </c>
      <c r="J88" s="7">
        <v>7.6875</v>
      </c>
      <c r="K88" s="6">
        <v>7.0625</v>
      </c>
      <c r="L88" s="6">
        <v>7.0374999999999996</v>
      </c>
      <c r="M88" s="9">
        <v>71.842500000000001</v>
      </c>
    </row>
    <row r="89" spans="1:13" x14ac:dyDescent="0.3">
      <c r="A89" s="5" t="s">
        <v>73</v>
      </c>
      <c r="B89" s="6">
        <v>2</v>
      </c>
      <c r="C89" s="6" t="s">
        <v>15</v>
      </c>
      <c r="D89" s="5">
        <v>43810</v>
      </c>
      <c r="E89" s="7" t="str">
        <f t="shared" si="1"/>
        <v>TN_C0H_F2_BIM_III</v>
      </c>
      <c r="F89" s="9">
        <v>7.3</v>
      </c>
      <c r="G89" s="9">
        <v>6.5249999999999995</v>
      </c>
      <c r="H89" s="9">
        <v>7.5124999999999993</v>
      </c>
      <c r="I89" s="9">
        <v>6.1412499999999994</v>
      </c>
      <c r="J89" s="7">
        <v>7.4375000000000009</v>
      </c>
      <c r="K89" s="6">
        <v>6.7750000000000004</v>
      </c>
      <c r="L89" s="6">
        <v>6.9124999999999996</v>
      </c>
      <c r="M89" s="9">
        <v>66.322499999999991</v>
      </c>
    </row>
    <row r="90" spans="1:13" x14ac:dyDescent="0.3">
      <c r="A90" s="5" t="s">
        <v>76</v>
      </c>
      <c r="B90" s="6">
        <v>3</v>
      </c>
      <c r="C90" s="6" t="s">
        <v>15</v>
      </c>
      <c r="D90" s="5">
        <v>43810</v>
      </c>
      <c r="E90" s="7" t="str">
        <f t="shared" si="1"/>
        <v>TN_C0M_F3_BIM_III</v>
      </c>
      <c r="F90" s="9">
        <v>7.3125</v>
      </c>
      <c r="G90" s="9">
        <v>6.3624999999999998</v>
      </c>
      <c r="H90" s="9">
        <v>7.5</v>
      </c>
      <c r="I90" s="9">
        <v>7.0750000000000002</v>
      </c>
      <c r="J90" s="7">
        <v>7.4249999999999998</v>
      </c>
      <c r="K90" s="6">
        <v>7.0624999999999991</v>
      </c>
      <c r="L90" s="6">
        <v>7.3875000000000002</v>
      </c>
      <c r="M90" s="9">
        <v>68.393749999999997</v>
      </c>
    </row>
    <row r="91" spans="1:13" x14ac:dyDescent="0.3">
      <c r="A91" s="6" t="s">
        <v>68</v>
      </c>
      <c r="B91" s="6">
        <v>2</v>
      </c>
      <c r="C91" s="6" t="s">
        <v>15</v>
      </c>
      <c r="D91" s="5">
        <v>43810</v>
      </c>
      <c r="E91" s="7" t="str">
        <f t="shared" si="1"/>
        <v>TN_C0D_F2_BIM_III</v>
      </c>
      <c r="F91" s="8">
        <v>7.2999999999999989</v>
      </c>
      <c r="G91" s="8">
        <v>8.2857142857142865</v>
      </c>
      <c r="H91" s="8">
        <v>7.5285714285714294</v>
      </c>
      <c r="I91" s="8">
        <v>7</v>
      </c>
      <c r="J91" s="8">
        <v>7.3714285714285719</v>
      </c>
      <c r="K91" s="8">
        <v>7.5571428571428578</v>
      </c>
      <c r="L91" s="8">
        <v>7.1</v>
      </c>
      <c r="M91" s="8">
        <v>70.57714285714286</v>
      </c>
    </row>
    <row r="92" spans="1:13" x14ac:dyDescent="0.3">
      <c r="A92" s="6" t="s">
        <v>69</v>
      </c>
      <c r="B92" s="6">
        <v>2</v>
      </c>
      <c r="C92" s="6" t="s">
        <v>15</v>
      </c>
      <c r="D92" s="5">
        <v>43810</v>
      </c>
      <c r="E92" s="7" t="str">
        <f t="shared" si="1"/>
        <v>TN_C0E_F2_BIM_III</v>
      </c>
      <c r="F92" s="8">
        <v>6.8142857142857149</v>
      </c>
      <c r="G92" s="8">
        <v>7.4571428571428573</v>
      </c>
      <c r="H92" s="8">
        <v>7.4571428571428573</v>
      </c>
      <c r="I92" s="8">
        <v>9</v>
      </c>
      <c r="J92" s="8">
        <v>5.9285714285714288</v>
      </c>
      <c r="K92" s="8">
        <v>7.1714285714285708</v>
      </c>
      <c r="L92" s="8">
        <v>6.1857142857142851</v>
      </c>
      <c r="M92" s="8">
        <v>66.468571428571423</v>
      </c>
    </row>
    <row r="93" spans="1:13" x14ac:dyDescent="0.3">
      <c r="A93" s="6" t="s">
        <v>71</v>
      </c>
      <c r="B93" s="6">
        <v>1</v>
      </c>
      <c r="C93" s="6" t="s">
        <v>15</v>
      </c>
      <c r="D93" s="5">
        <v>43817</v>
      </c>
      <c r="E93" s="7" t="str">
        <f t="shared" si="1"/>
        <v>TN_C0F_F1_BIM_III</v>
      </c>
      <c r="F93" s="8">
        <v>7.2714285714285714</v>
      </c>
      <c r="G93" s="8">
        <v>7.0571428571428569</v>
      </c>
      <c r="H93" s="8">
        <v>7.4857142857142858</v>
      </c>
      <c r="I93" s="8">
        <v>6</v>
      </c>
      <c r="J93" s="8">
        <v>6.5571428571428569</v>
      </c>
      <c r="K93" s="8">
        <v>6.4571428571428573</v>
      </c>
      <c r="L93" s="8">
        <v>6.4571428571428564</v>
      </c>
      <c r="M93" s="8">
        <v>63.80714285714285</v>
      </c>
    </row>
    <row r="94" spans="1:13" x14ac:dyDescent="0.3">
      <c r="A94" s="6" t="s">
        <v>72</v>
      </c>
      <c r="B94" s="6">
        <v>2</v>
      </c>
      <c r="C94" s="6" t="s">
        <v>15</v>
      </c>
      <c r="D94" s="5">
        <v>43817</v>
      </c>
      <c r="E94" s="7" t="str">
        <f t="shared" si="1"/>
        <v>TN_C0G_F2_BIM_III</v>
      </c>
      <c r="F94" s="8">
        <v>6.9428571428571431</v>
      </c>
      <c r="G94" s="8">
        <v>8.1571428571428584</v>
      </c>
      <c r="H94" s="8">
        <v>7.7142857142857144</v>
      </c>
      <c r="I94" s="8">
        <v>5.5</v>
      </c>
      <c r="J94" s="8">
        <v>6.7142857142857144</v>
      </c>
      <c r="K94" s="8">
        <v>7.5571428571428578</v>
      </c>
      <c r="L94" s="8">
        <v>6.8857142857142861</v>
      </c>
      <c r="M94" s="8">
        <v>67.351428571428585</v>
      </c>
    </row>
    <row r="95" spans="1:13" x14ac:dyDescent="0.3">
      <c r="A95" s="6" t="s">
        <v>75</v>
      </c>
      <c r="B95" s="6">
        <v>1</v>
      </c>
      <c r="C95" s="6" t="s">
        <v>15</v>
      </c>
      <c r="D95" s="5">
        <v>43817</v>
      </c>
      <c r="E95" s="7" t="str">
        <f t="shared" si="1"/>
        <v>TN_C0L_F1_BIM_III</v>
      </c>
      <c r="F95" s="8">
        <v>6.8285714285714283</v>
      </c>
      <c r="G95" s="8">
        <v>7.7999999999999989</v>
      </c>
      <c r="H95" s="8">
        <v>7.5857142857142845</v>
      </c>
      <c r="I95" s="8">
        <v>6.5</v>
      </c>
      <c r="J95" s="8">
        <v>7.0571428571428578</v>
      </c>
      <c r="K95" s="8">
        <v>7.5571428571428569</v>
      </c>
      <c r="L95" s="8">
        <v>6.7714285714285722</v>
      </c>
      <c r="M95" s="8">
        <v>68.101428571428571</v>
      </c>
    </row>
    <row r="96" spans="1:13" x14ac:dyDescent="0.3">
      <c r="A96" s="6" t="s">
        <v>79</v>
      </c>
      <c r="B96" s="6">
        <v>3</v>
      </c>
      <c r="C96" s="6" t="s">
        <v>15</v>
      </c>
      <c r="D96" s="5">
        <v>43817</v>
      </c>
      <c r="E96" s="7" t="str">
        <f t="shared" si="1"/>
        <v>TN_C0Q_F3_BIM_III</v>
      </c>
      <c r="F96" s="8">
        <v>7.4714285714285706</v>
      </c>
      <c r="G96" s="8">
        <v>7.4714285714285724</v>
      </c>
      <c r="H96" s="8">
        <v>7.8571428571428568</v>
      </c>
      <c r="I96" s="8">
        <v>6</v>
      </c>
      <c r="J96" s="8">
        <v>7.2857142857142856</v>
      </c>
      <c r="K96" s="8">
        <v>6.5285714285714276</v>
      </c>
      <c r="L96" s="8">
        <v>6.3</v>
      </c>
      <c r="M96" s="8">
        <v>66.004285714285714</v>
      </c>
    </row>
    <row r="97" spans="1:13" x14ac:dyDescent="0.3">
      <c r="A97" s="8" t="s">
        <v>64</v>
      </c>
      <c r="B97" s="6">
        <v>1</v>
      </c>
      <c r="C97" s="8" t="s">
        <v>16</v>
      </c>
      <c r="D97" s="12">
        <v>43838</v>
      </c>
      <c r="E97" s="8" t="str">
        <f t="shared" si="1"/>
        <v>TN_C0A_F1_BIM_IV</v>
      </c>
      <c r="F97" s="8">
        <v>7.0199999999999987</v>
      </c>
      <c r="G97" s="8">
        <v>7.37</v>
      </c>
      <c r="H97" s="8">
        <v>6.4399999999999995</v>
      </c>
      <c r="I97" s="8">
        <v>5.8363636363636351</v>
      </c>
      <c r="J97" s="8">
        <v>7.5</v>
      </c>
      <c r="K97" s="8">
        <v>7.38</v>
      </c>
      <c r="L97" s="8">
        <v>7.2100000000000009</v>
      </c>
      <c r="M97" s="8">
        <v>66.88936363636364</v>
      </c>
    </row>
    <row r="98" spans="1:13" x14ac:dyDescent="0.3">
      <c r="A98" s="8" t="s">
        <v>66</v>
      </c>
      <c r="B98" s="6">
        <v>1</v>
      </c>
      <c r="C98" s="8" t="s">
        <v>16</v>
      </c>
      <c r="D98" s="12">
        <v>43838</v>
      </c>
      <c r="E98" s="8" t="str">
        <f t="shared" si="1"/>
        <v>TN_C0B_F1_BIM_IV</v>
      </c>
      <c r="F98" s="8">
        <v>7.44</v>
      </c>
      <c r="G98" s="8">
        <v>7.83</v>
      </c>
      <c r="H98" s="8">
        <v>7.32</v>
      </c>
      <c r="I98" s="8">
        <v>6.6545454545454534</v>
      </c>
      <c r="J98" s="8">
        <v>7.26</v>
      </c>
      <c r="K98" s="8">
        <v>6.93</v>
      </c>
      <c r="L98" s="8">
        <v>6.74</v>
      </c>
      <c r="M98" s="8">
        <v>67.714545454545458</v>
      </c>
    </row>
    <row r="99" spans="1:13" x14ac:dyDescent="0.3">
      <c r="A99" s="8" t="s">
        <v>74</v>
      </c>
      <c r="B99" s="6">
        <v>1</v>
      </c>
      <c r="C99" s="8" t="s">
        <v>16</v>
      </c>
      <c r="D99" s="12">
        <v>43838</v>
      </c>
      <c r="E99" s="8" t="str">
        <f t="shared" si="1"/>
        <v>TN_C0I_F1_BIM_IV</v>
      </c>
      <c r="F99" s="8">
        <v>6.8199999999999985</v>
      </c>
      <c r="G99" s="8">
        <v>5.62</v>
      </c>
      <c r="H99" s="8">
        <v>6.18</v>
      </c>
      <c r="I99" s="8">
        <v>6.8363636363636351</v>
      </c>
      <c r="J99" s="8">
        <v>7.2200000000000006</v>
      </c>
      <c r="K99" s="8">
        <v>7.07</v>
      </c>
      <c r="L99" s="8">
        <v>6.910000000000001</v>
      </c>
      <c r="M99" s="8">
        <v>64.057363636363633</v>
      </c>
    </row>
    <row r="100" spans="1:13" x14ac:dyDescent="0.3">
      <c r="A100" s="8" t="s">
        <v>78</v>
      </c>
      <c r="B100" s="6">
        <v>1</v>
      </c>
      <c r="C100" s="8" t="s">
        <v>16</v>
      </c>
      <c r="D100" s="12">
        <v>43838</v>
      </c>
      <c r="E100" s="8" t="str">
        <f t="shared" si="1"/>
        <v>TN_C0P_F1_BIM_IV</v>
      </c>
      <c r="F100" s="8">
        <v>7.15</v>
      </c>
      <c r="G100" s="8">
        <v>6.5299999999999994</v>
      </c>
      <c r="H100" s="8">
        <v>6.6</v>
      </c>
      <c r="I100" s="8">
        <v>8.0636363636363644</v>
      </c>
      <c r="J100" s="8">
        <v>7.2299999999999995</v>
      </c>
      <c r="K100" s="8">
        <v>7.2299999999999995</v>
      </c>
      <c r="L100" s="8">
        <v>7.0299999999999994</v>
      </c>
      <c r="M100" s="8">
        <v>67.579636363636354</v>
      </c>
    </row>
    <row r="101" spans="1:13" x14ac:dyDescent="0.3">
      <c r="A101" s="8" t="s">
        <v>79</v>
      </c>
      <c r="B101" s="6">
        <v>1</v>
      </c>
      <c r="C101" s="8" t="s">
        <v>16</v>
      </c>
      <c r="D101" s="12">
        <v>43838</v>
      </c>
      <c r="E101" s="8" t="str">
        <f t="shared" si="1"/>
        <v>TN_C0Q_F1_BIM_IV</v>
      </c>
      <c r="F101" s="8">
        <v>7.0299999999999994</v>
      </c>
      <c r="G101" s="8">
        <v>7.4099999999999993</v>
      </c>
      <c r="H101" s="8">
        <v>7.8777777777777764</v>
      </c>
      <c r="I101" s="8">
        <v>6.2818181818181813</v>
      </c>
      <c r="J101" s="8">
        <v>7.2500000000000018</v>
      </c>
      <c r="K101" s="8">
        <v>6.6400000000000006</v>
      </c>
      <c r="L101" s="8">
        <v>6.63</v>
      </c>
      <c r="M101" s="8">
        <v>66.510929292929291</v>
      </c>
    </row>
    <row r="102" spans="1:13" x14ac:dyDescent="0.3">
      <c r="A102" s="8" t="s">
        <v>80</v>
      </c>
      <c r="B102" s="6">
        <v>1</v>
      </c>
      <c r="C102" s="8" t="s">
        <v>16</v>
      </c>
      <c r="D102" s="12">
        <v>43838</v>
      </c>
      <c r="E102" s="8" t="str">
        <f t="shared" si="1"/>
        <v>TN_C0R_F1_BIM_IV</v>
      </c>
      <c r="F102" s="8">
        <v>6.92</v>
      </c>
      <c r="G102" s="8">
        <v>7.15</v>
      </c>
      <c r="H102" s="8">
        <v>7.65</v>
      </c>
      <c r="I102" s="8">
        <v>6.1545454545454552</v>
      </c>
      <c r="J102" s="8">
        <v>7.35</v>
      </c>
      <c r="K102" s="8">
        <v>7.080000000000001</v>
      </c>
      <c r="L102" s="8">
        <v>7.19</v>
      </c>
      <c r="M102" s="8">
        <v>67.63154545454546</v>
      </c>
    </row>
    <row r="103" spans="1:13" x14ac:dyDescent="0.3">
      <c r="A103" s="8" t="s">
        <v>64</v>
      </c>
      <c r="B103" s="6">
        <v>2</v>
      </c>
      <c r="C103" s="8" t="s">
        <v>16</v>
      </c>
      <c r="D103" s="12">
        <v>43845</v>
      </c>
      <c r="E103" s="7" t="str">
        <f t="shared" si="1"/>
        <v>TN_C0A_F2_BIM_IV</v>
      </c>
      <c r="F103" s="8">
        <v>7.0636363636363635</v>
      </c>
      <c r="G103" s="8">
        <v>7.463636363636363</v>
      </c>
      <c r="H103" s="8">
        <v>7.3454545454545448</v>
      </c>
      <c r="I103" s="8">
        <v>5.7</v>
      </c>
      <c r="J103" s="8">
        <v>7.4454545454545444</v>
      </c>
      <c r="K103" s="8">
        <v>7.3181818181818183</v>
      </c>
      <c r="L103" s="8">
        <v>7.5363636363636353</v>
      </c>
      <c r="M103" s="8">
        <v>68.418181818181807</v>
      </c>
    </row>
    <row r="104" spans="1:13" x14ac:dyDescent="0.3">
      <c r="A104" s="8" t="s">
        <v>68</v>
      </c>
      <c r="B104" s="6">
        <v>1</v>
      </c>
      <c r="C104" s="8" t="s">
        <v>16</v>
      </c>
      <c r="D104" s="12">
        <v>43845</v>
      </c>
      <c r="E104" s="7" t="str">
        <f t="shared" si="1"/>
        <v>TN_C0D_F1_BIM_IV</v>
      </c>
      <c r="F104" s="8">
        <v>7.0272727272727273</v>
      </c>
      <c r="G104" s="8">
        <v>6.9</v>
      </c>
      <c r="H104" s="8">
        <v>7.3363636363636351</v>
      </c>
      <c r="I104" s="8">
        <v>8.2333333333333325</v>
      </c>
      <c r="J104" s="8">
        <v>7.172727272727272</v>
      </c>
      <c r="K104" s="8">
        <v>7</v>
      </c>
      <c r="L104" s="8">
        <v>6.9909090909090912</v>
      </c>
      <c r="M104" s="8">
        <v>68.376060606060605</v>
      </c>
    </row>
    <row r="105" spans="1:13" x14ac:dyDescent="0.3">
      <c r="A105" s="8" t="s">
        <v>71</v>
      </c>
      <c r="B105" s="6">
        <v>1</v>
      </c>
      <c r="C105" s="8" t="s">
        <v>16</v>
      </c>
      <c r="D105" s="12">
        <v>43845</v>
      </c>
      <c r="E105" s="7" t="str">
        <f t="shared" si="1"/>
        <v>TN_C0F_F1_BIM_IV</v>
      </c>
      <c r="F105" s="8">
        <v>7.2636363636363646</v>
      </c>
      <c r="G105" s="8">
        <v>6.4363636363636374</v>
      </c>
      <c r="H105" s="8">
        <v>7.8818181818181818</v>
      </c>
      <c r="I105" s="8">
        <v>6.2666666666666657</v>
      </c>
      <c r="J105" s="8">
        <v>7.245454545454546</v>
      </c>
      <c r="K105" s="8">
        <v>6.9909090909090912</v>
      </c>
      <c r="L105" s="8">
        <v>6.7363636363636354</v>
      </c>
      <c r="M105" s="8">
        <v>66.565757575757573</v>
      </c>
    </row>
    <row r="106" spans="1:13" x14ac:dyDescent="0.3">
      <c r="A106" s="8" t="s">
        <v>72</v>
      </c>
      <c r="B106" s="6">
        <v>1</v>
      </c>
      <c r="C106" s="8" t="s">
        <v>16</v>
      </c>
      <c r="D106" s="12">
        <v>43845</v>
      </c>
      <c r="E106" s="7" t="str">
        <f t="shared" si="1"/>
        <v>TN_C0G_F1_BIM_IV</v>
      </c>
      <c r="F106" s="8">
        <v>7.3000000000000007</v>
      </c>
      <c r="G106" s="8">
        <v>7.1090909090909093</v>
      </c>
      <c r="H106" s="8">
        <v>7.5818181818181811</v>
      </c>
      <c r="I106" s="8">
        <v>6.6499999999999995</v>
      </c>
      <c r="J106" s="8">
        <v>7.6090909090909093</v>
      </c>
      <c r="K106" s="8">
        <v>7.254545454545454</v>
      </c>
      <c r="L106" s="8">
        <v>7.3363636363636369</v>
      </c>
      <c r="M106" s="8">
        <v>69.380909090909086</v>
      </c>
    </row>
    <row r="107" spans="1:13" x14ac:dyDescent="0.3">
      <c r="A107" s="8" t="s">
        <v>73</v>
      </c>
      <c r="B107" s="6">
        <v>1</v>
      </c>
      <c r="C107" s="8" t="s">
        <v>16</v>
      </c>
      <c r="D107" s="12">
        <v>43845</v>
      </c>
      <c r="E107" s="7" t="str">
        <f t="shared" si="1"/>
        <v>TN_C0H_F1_BIM_IV</v>
      </c>
      <c r="F107" s="8">
        <v>7.254545454545454</v>
      </c>
      <c r="G107" s="8">
        <v>7.5454545454545459</v>
      </c>
      <c r="H107" s="8">
        <v>7.9363636363636374</v>
      </c>
      <c r="I107" s="8">
        <v>7.7833333333333341</v>
      </c>
      <c r="J107" s="8">
        <v>7.1545454545454534</v>
      </c>
      <c r="K107" s="8">
        <v>6.5909090909090908</v>
      </c>
      <c r="L107" s="8">
        <v>6.5181818181818185</v>
      </c>
      <c r="M107" s="8">
        <v>68.007878787878781</v>
      </c>
    </row>
    <row r="108" spans="1:13" x14ac:dyDescent="0.3">
      <c r="A108" s="8" t="s">
        <v>79</v>
      </c>
      <c r="B108" s="6">
        <v>2</v>
      </c>
      <c r="C108" s="8" t="s">
        <v>16</v>
      </c>
      <c r="D108" s="12">
        <v>43845</v>
      </c>
      <c r="E108" s="7" t="str">
        <f t="shared" si="1"/>
        <v>TN_C0Q_F2_BIM_IV</v>
      </c>
      <c r="F108" s="8">
        <v>6.9</v>
      </c>
      <c r="G108" s="8">
        <v>7.4363636363636374</v>
      </c>
      <c r="H108" s="8">
        <v>7.4909090909090912</v>
      </c>
      <c r="I108" s="8">
        <v>6.333333333333333</v>
      </c>
      <c r="J108" s="8">
        <v>7.4818181818181833</v>
      </c>
      <c r="K108" s="8">
        <v>6.8363636363636369</v>
      </c>
      <c r="L108" s="8">
        <v>6.745454545454546</v>
      </c>
      <c r="M108" s="8">
        <v>66.899696969696976</v>
      </c>
    </row>
    <row r="109" spans="1:13" x14ac:dyDescent="0.3">
      <c r="A109" s="8" t="s">
        <v>67</v>
      </c>
      <c r="B109" s="6">
        <v>1</v>
      </c>
      <c r="C109" s="8" t="s">
        <v>16</v>
      </c>
      <c r="D109" s="12">
        <v>43852</v>
      </c>
      <c r="E109" s="7" t="str">
        <f t="shared" si="1"/>
        <v>TN_C0C_F1_BIM_IV</v>
      </c>
      <c r="F109" s="8">
        <v>7.2</v>
      </c>
      <c r="G109" s="8">
        <v>6.9333333333333336</v>
      </c>
      <c r="H109" s="8">
        <v>6.916666666666667</v>
      </c>
      <c r="I109" s="8">
        <v>8.5</v>
      </c>
      <c r="J109" s="8">
        <v>7.2333333333333334</v>
      </c>
      <c r="K109" s="8">
        <v>7.5</v>
      </c>
      <c r="L109" s="8">
        <v>7.416666666666667</v>
      </c>
      <c r="M109" s="8">
        <v>70.03</v>
      </c>
    </row>
    <row r="110" spans="1:13" x14ac:dyDescent="0.3">
      <c r="A110" s="8" t="s">
        <v>69</v>
      </c>
      <c r="B110" s="6">
        <v>1</v>
      </c>
      <c r="C110" s="8" t="s">
        <v>16</v>
      </c>
      <c r="D110" s="12">
        <v>43852</v>
      </c>
      <c r="E110" s="7" t="str">
        <f t="shared" si="1"/>
        <v>TN_C0E_F1_BIM_IV</v>
      </c>
      <c r="F110" s="8">
        <v>6.9666666666666677</v>
      </c>
      <c r="G110" s="8">
        <v>7.9833333333333334</v>
      </c>
      <c r="H110" s="8">
        <v>8.8666666666666671</v>
      </c>
      <c r="I110" s="8">
        <v>6.666666666666667</v>
      </c>
      <c r="J110" s="8">
        <v>7</v>
      </c>
      <c r="K110" s="8">
        <v>6.6999999999999993</v>
      </c>
      <c r="L110" s="8">
        <v>6.666666666666667</v>
      </c>
      <c r="M110" s="8">
        <v>68.436666666666653</v>
      </c>
    </row>
    <row r="111" spans="1:13" x14ac:dyDescent="0.3">
      <c r="A111" s="8" t="s">
        <v>73</v>
      </c>
      <c r="B111" s="6">
        <v>2</v>
      </c>
      <c r="C111" s="8" t="s">
        <v>16</v>
      </c>
      <c r="D111" s="12">
        <v>43852</v>
      </c>
      <c r="E111" s="7" t="str">
        <f t="shared" si="1"/>
        <v>TN_C0H_F2_BIM_IV</v>
      </c>
      <c r="F111" s="8">
        <v>7.166666666666667</v>
      </c>
      <c r="G111" s="8">
        <v>6.9333333333333336</v>
      </c>
      <c r="H111" s="8">
        <v>7.7166666666666677</v>
      </c>
      <c r="I111" s="8">
        <v>6.5</v>
      </c>
      <c r="J111" s="8">
        <v>6.8500000000000005</v>
      </c>
      <c r="K111" s="8">
        <v>6.5333333333333341</v>
      </c>
      <c r="L111" s="8">
        <v>6.7166666666666659</v>
      </c>
      <c r="M111" s="8">
        <v>65.455000000000013</v>
      </c>
    </row>
    <row r="112" spans="1:13" x14ac:dyDescent="0.3">
      <c r="A112" s="8" t="s">
        <v>76</v>
      </c>
      <c r="B112" s="6">
        <v>1</v>
      </c>
      <c r="C112" s="8" t="s">
        <v>16</v>
      </c>
      <c r="D112" s="12">
        <v>43852</v>
      </c>
      <c r="E112" s="7" t="str">
        <f t="shared" si="1"/>
        <v>TN_C0M_F1_BIM_IV</v>
      </c>
      <c r="F112" s="8">
        <v>7.1333333333333329</v>
      </c>
      <c r="G112" s="8">
        <v>5.2666666666666666</v>
      </c>
      <c r="H112" s="8">
        <v>7.3666666666666671</v>
      </c>
      <c r="I112" s="8">
        <v>5.25</v>
      </c>
      <c r="J112" s="8">
        <v>7.166666666666667</v>
      </c>
      <c r="K112" s="8">
        <v>6.4666666666666659</v>
      </c>
      <c r="L112" s="8">
        <v>6.916666666666667</v>
      </c>
      <c r="M112" s="8">
        <v>62.80833333333333</v>
      </c>
    </row>
    <row r="113" spans="1:13" x14ac:dyDescent="0.3">
      <c r="A113" s="8" t="s">
        <v>76</v>
      </c>
      <c r="B113" s="6">
        <v>1</v>
      </c>
      <c r="C113" s="8" t="s">
        <v>16</v>
      </c>
      <c r="D113" s="12">
        <v>43852</v>
      </c>
      <c r="E113" s="7" t="str">
        <f t="shared" si="1"/>
        <v>TN_C0M_F1_BIM_IV</v>
      </c>
      <c r="F113" s="8">
        <v>7</v>
      </c>
      <c r="G113" s="8">
        <v>8.0166666666666675</v>
      </c>
      <c r="H113" s="8">
        <v>7.6000000000000005</v>
      </c>
      <c r="I113" s="8">
        <v>7</v>
      </c>
      <c r="J113" s="8">
        <v>7.2</v>
      </c>
      <c r="K113" s="8">
        <v>6.9833333333333334</v>
      </c>
      <c r="L113" s="8">
        <v>7.0666666666666664</v>
      </c>
      <c r="M113" s="8">
        <v>68.72</v>
      </c>
    </row>
    <row r="114" spans="1:13" x14ac:dyDescent="0.3">
      <c r="A114" s="8" t="s">
        <v>78</v>
      </c>
      <c r="B114" s="6">
        <v>2</v>
      </c>
      <c r="C114" s="8" t="s">
        <v>16</v>
      </c>
      <c r="D114" s="12">
        <v>43852</v>
      </c>
      <c r="E114" s="7" t="str">
        <f t="shared" si="1"/>
        <v>TN_C0P_F2_BIM_IV</v>
      </c>
      <c r="F114" s="8">
        <v>6.9833333333333334</v>
      </c>
      <c r="G114" s="8">
        <v>7.25</v>
      </c>
      <c r="H114" s="8">
        <v>7.1000000000000005</v>
      </c>
      <c r="I114" s="8">
        <v>7.25</v>
      </c>
      <c r="J114" s="8">
        <v>7.166666666666667</v>
      </c>
      <c r="K114" s="8">
        <v>7.1499999999999995</v>
      </c>
      <c r="L114" s="8">
        <v>7.3166666666666664</v>
      </c>
      <c r="M114" s="8">
        <v>68.204999999999998</v>
      </c>
    </row>
    <row r="115" spans="1:13" x14ac:dyDescent="0.3">
      <c r="A115" s="8" t="s">
        <v>64</v>
      </c>
      <c r="B115" s="6">
        <v>3</v>
      </c>
      <c r="C115" s="8" t="s">
        <v>16</v>
      </c>
      <c r="D115" s="12">
        <v>43859</v>
      </c>
      <c r="E115" s="7" t="str">
        <f t="shared" si="1"/>
        <v>TN_C0A_F3_BIM_IV</v>
      </c>
      <c r="F115" s="8">
        <v>7.0222222222222221</v>
      </c>
      <c r="G115" s="8">
        <v>7.4111111111111114</v>
      </c>
      <c r="H115" s="8">
        <v>6.7222222222222232</v>
      </c>
      <c r="I115" s="8">
        <v>7</v>
      </c>
      <c r="J115" s="8">
        <v>7.3666666666666663</v>
      </c>
      <c r="K115" s="8">
        <v>6.9</v>
      </c>
      <c r="L115" s="8">
        <v>7.166666666666667</v>
      </c>
      <c r="M115" s="8">
        <v>67.298888888888897</v>
      </c>
    </row>
    <row r="116" spans="1:13" x14ac:dyDescent="0.3">
      <c r="A116" s="8" t="s">
        <v>67</v>
      </c>
      <c r="B116" s="6">
        <v>2</v>
      </c>
      <c r="C116" s="8" t="s">
        <v>16</v>
      </c>
      <c r="D116" s="12">
        <v>43859</v>
      </c>
      <c r="E116" s="7" t="str">
        <f t="shared" si="1"/>
        <v>TN_C0C_F2_BIM_IV</v>
      </c>
      <c r="F116" s="8">
        <v>7.5111111111111102</v>
      </c>
      <c r="G116" s="8">
        <v>7.3999999999999995</v>
      </c>
      <c r="H116" s="8">
        <v>6.7444444444444436</v>
      </c>
      <c r="I116" s="8">
        <v>6</v>
      </c>
      <c r="J116" s="8">
        <v>7.2222222222222223</v>
      </c>
      <c r="K116" s="8">
        <v>6.9111111111111105</v>
      </c>
      <c r="L116" s="8">
        <v>7.1</v>
      </c>
      <c r="M116" s="8">
        <v>66.466666666666654</v>
      </c>
    </row>
    <row r="117" spans="1:13" x14ac:dyDescent="0.3">
      <c r="A117" s="8" t="s">
        <v>72</v>
      </c>
      <c r="B117" s="6">
        <v>2</v>
      </c>
      <c r="C117" s="8" t="s">
        <v>16</v>
      </c>
      <c r="D117" s="12">
        <v>43859</v>
      </c>
      <c r="E117" s="7" t="str">
        <f t="shared" si="1"/>
        <v>TN_C0G_F2_BIM_IV</v>
      </c>
      <c r="F117" s="8">
        <v>7.6777777777777771</v>
      </c>
      <c r="G117" s="8">
        <v>7.1222222222222218</v>
      </c>
      <c r="H117" s="8">
        <v>7.8222222222222211</v>
      </c>
      <c r="I117" s="8">
        <v>7.333333333333333</v>
      </c>
      <c r="J117" s="8">
        <v>7.333333333333333</v>
      </c>
      <c r="K117" s="8">
        <v>7.2000000000000011</v>
      </c>
      <c r="L117" s="8">
        <v>7.2888888888888879</v>
      </c>
      <c r="M117" s="8">
        <v>70.11999999999999</v>
      </c>
    </row>
    <row r="118" spans="1:13" x14ac:dyDescent="0.3">
      <c r="A118" s="8" t="s">
        <v>75</v>
      </c>
      <c r="B118" s="6">
        <v>1</v>
      </c>
      <c r="C118" s="8" t="s">
        <v>16</v>
      </c>
      <c r="D118" s="12">
        <v>43859</v>
      </c>
      <c r="E118" s="7" t="str">
        <f t="shared" si="1"/>
        <v>TN_C0L_F1_BIM_IV</v>
      </c>
      <c r="F118" s="8">
        <v>7.2111111111111121</v>
      </c>
      <c r="G118" s="8">
        <v>6.9666666666666659</v>
      </c>
      <c r="H118" s="8">
        <v>7.6000000000000005</v>
      </c>
      <c r="I118" s="8">
        <v>5.5</v>
      </c>
      <c r="J118" s="8">
        <v>7.4222222222222234</v>
      </c>
      <c r="K118" s="8">
        <v>7.3555555555555543</v>
      </c>
      <c r="L118" s="8">
        <v>7.3999999999999995</v>
      </c>
      <c r="M118" s="8">
        <v>67.995555555555555</v>
      </c>
    </row>
    <row r="119" spans="1:13" x14ac:dyDescent="0.3">
      <c r="A119" s="8" t="s">
        <v>76</v>
      </c>
      <c r="B119" s="6">
        <v>2</v>
      </c>
      <c r="C119" s="8" t="s">
        <v>16</v>
      </c>
      <c r="D119" s="12">
        <v>43859</v>
      </c>
      <c r="E119" s="7" t="str">
        <f t="shared" si="1"/>
        <v>TN_C0M_F2_BIM_IV</v>
      </c>
      <c r="F119" s="8">
        <v>6.9333333333333327</v>
      </c>
      <c r="G119" s="8">
        <v>7.1888888888888873</v>
      </c>
      <c r="H119" s="8">
        <v>7.4777777777777779</v>
      </c>
      <c r="I119" s="8">
        <v>6.333333333333333</v>
      </c>
      <c r="J119" s="8">
        <v>7.5</v>
      </c>
      <c r="K119" s="8">
        <v>7.4111111111111114</v>
      </c>
      <c r="L119" s="8">
        <v>7.1222222222222218</v>
      </c>
      <c r="M119" s="8">
        <v>68.374444444444435</v>
      </c>
    </row>
    <row r="120" spans="1:13" x14ac:dyDescent="0.3">
      <c r="A120" s="8" t="s">
        <v>77</v>
      </c>
      <c r="B120" s="6">
        <v>1</v>
      </c>
      <c r="C120" s="8" t="s">
        <v>16</v>
      </c>
      <c r="D120" s="12">
        <v>43859</v>
      </c>
      <c r="E120" s="7" t="str">
        <f t="shared" si="1"/>
        <v>TN_C0O_F1_BIM_IV</v>
      </c>
      <c r="F120" s="8">
        <v>6.9111111111111105</v>
      </c>
      <c r="G120" s="8">
        <v>7.4222222222222234</v>
      </c>
      <c r="H120" s="8">
        <v>7.3888888888888893</v>
      </c>
      <c r="I120" s="8">
        <v>8.1999999999999993</v>
      </c>
      <c r="J120" s="8">
        <v>7.4222222222222216</v>
      </c>
      <c r="K120" s="8">
        <v>7.1444444444444457</v>
      </c>
      <c r="L120" s="8">
        <v>7.0888888888888903</v>
      </c>
      <c r="M120" s="8">
        <v>69.667777777777772</v>
      </c>
    </row>
    <row r="121" spans="1:13" x14ac:dyDescent="0.3">
      <c r="A121" s="8" t="s">
        <v>67</v>
      </c>
      <c r="B121" s="6">
        <v>3</v>
      </c>
      <c r="C121" s="8" t="s">
        <v>16</v>
      </c>
      <c r="D121" s="12">
        <v>43866</v>
      </c>
      <c r="E121" s="7" t="str">
        <f t="shared" si="1"/>
        <v>TN_C0C_F3_BIM_IV</v>
      </c>
      <c r="F121" s="8">
        <v>7.24</v>
      </c>
      <c r="G121" s="8">
        <v>6.7099999999999991</v>
      </c>
      <c r="H121" s="8">
        <v>6.7200000000000006</v>
      </c>
      <c r="I121" s="8">
        <v>7.9249999999999989</v>
      </c>
      <c r="J121" s="8">
        <v>7.2299999999999995</v>
      </c>
      <c r="K121" s="8">
        <v>6.7</v>
      </c>
      <c r="L121" s="8">
        <v>7.0399999999999991</v>
      </c>
      <c r="M121" s="8">
        <v>66.929999999999993</v>
      </c>
    </row>
    <row r="122" spans="1:13" x14ac:dyDescent="0.3">
      <c r="A122" s="8" t="s">
        <v>68</v>
      </c>
      <c r="B122" s="6">
        <v>2</v>
      </c>
      <c r="C122" s="8" t="s">
        <v>16</v>
      </c>
      <c r="D122" s="12">
        <v>43866</v>
      </c>
      <c r="E122" s="7" t="str">
        <f t="shared" si="1"/>
        <v>TN_C0D_F2_BIM_IV</v>
      </c>
      <c r="F122" s="8">
        <v>6.85</v>
      </c>
      <c r="G122" s="8">
        <v>7.2299999999999995</v>
      </c>
      <c r="H122" s="8">
        <v>8.1</v>
      </c>
      <c r="I122" s="8">
        <v>8.3375000000000004</v>
      </c>
      <c r="J122" s="8">
        <v>7.6099999999999994</v>
      </c>
      <c r="K122" s="8">
        <v>7.1</v>
      </c>
      <c r="L122" s="8">
        <v>7.1</v>
      </c>
      <c r="M122" s="8">
        <v>70.734499999999997</v>
      </c>
    </row>
    <row r="123" spans="1:13" x14ac:dyDescent="0.3">
      <c r="A123" s="8" t="s">
        <v>69</v>
      </c>
      <c r="B123" s="6">
        <v>2</v>
      </c>
      <c r="C123" s="8" t="s">
        <v>16</v>
      </c>
      <c r="D123" s="12">
        <v>43866</v>
      </c>
      <c r="E123" s="7" t="str">
        <f t="shared" si="1"/>
        <v>TN_C0E_F2_BIM_IV</v>
      </c>
      <c r="F123" s="8">
        <v>7.2299999999999995</v>
      </c>
      <c r="G123" s="8">
        <v>6.63</v>
      </c>
      <c r="H123" s="8">
        <v>7.4800000000000013</v>
      </c>
      <c r="I123" s="8">
        <v>8.1375000000000011</v>
      </c>
      <c r="J123" s="8">
        <v>6.32</v>
      </c>
      <c r="K123" s="8">
        <v>6.55</v>
      </c>
      <c r="L123" s="8">
        <v>6.1599999999999993</v>
      </c>
      <c r="M123" s="8">
        <v>64.727500000000006</v>
      </c>
    </row>
    <row r="124" spans="1:13" x14ac:dyDescent="0.3">
      <c r="A124" s="8" t="s">
        <v>76</v>
      </c>
      <c r="B124" s="6">
        <v>2</v>
      </c>
      <c r="C124" s="8" t="s">
        <v>16</v>
      </c>
      <c r="D124" s="12">
        <v>43866</v>
      </c>
      <c r="E124" s="7" t="str">
        <f t="shared" si="1"/>
        <v>TN_C0M_F2_BIM_IV</v>
      </c>
      <c r="F124" s="8">
        <v>7.42</v>
      </c>
      <c r="G124" s="8">
        <v>6.36</v>
      </c>
      <c r="H124" s="8">
        <v>7.4700000000000006</v>
      </c>
      <c r="I124" s="8">
        <v>5.8249999999999993</v>
      </c>
      <c r="J124" s="8">
        <v>7.4700000000000006</v>
      </c>
      <c r="K124" s="8">
        <v>6.74</v>
      </c>
      <c r="L124" s="8">
        <v>7.1</v>
      </c>
      <c r="M124" s="8">
        <v>66.216999999999999</v>
      </c>
    </row>
    <row r="125" spans="1:13" x14ac:dyDescent="0.3">
      <c r="A125" s="8" t="s">
        <v>76</v>
      </c>
      <c r="B125" s="6">
        <v>3</v>
      </c>
      <c r="C125" s="8" t="s">
        <v>16</v>
      </c>
      <c r="D125" s="12">
        <v>43866</v>
      </c>
      <c r="E125" s="7" t="str">
        <f t="shared" si="1"/>
        <v>TN_C0M_F3_BIM_IV</v>
      </c>
      <c r="F125" s="8">
        <v>6.9099999999999993</v>
      </c>
      <c r="G125" s="8">
        <v>7.7799999999999994</v>
      </c>
      <c r="H125" s="8">
        <v>7.62</v>
      </c>
      <c r="I125" s="8">
        <v>7.4749999999999996</v>
      </c>
      <c r="J125" s="8">
        <v>7.69</v>
      </c>
      <c r="K125" s="8">
        <v>7.0100000000000007</v>
      </c>
      <c r="L125" s="8">
        <v>7.4800000000000013</v>
      </c>
      <c r="M125" s="8">
        <v>70.478000000000009</v>
      </c>
    </row>
    <row r="126" spans="1:13" x14ac:dyDescent="0.3">
      <c r="A126" s="8" t="s">
        <v>79</v>
      </c>
      <c r="B126" s="6">
        <v>3</v>
      </c>
      <c r="C126" s="8" t="s">
        <v>16</v>
      </c>
      <c r="D126" s="12">
        <v>43866</v>
      </c>
      <c r="E126" s="7" t="str">
        <f t="shared" si="1"/>
        <v>TN_C0Q_F3_BIM_IV</v>
      </c>
      <c r="F126" s="8">
        <v>6.669999999999999</v>
      </c>
      <c r="G126" s="8">
        <v>6.9</v>
      </c>
      <c r="H126" s="8">
        <v>7.2700000000000005</v>
      </c>
      <c r="I126" s="8">
        <v>6.5</v>
      </c>
      <c r="J126" s="8">
        <v>6.8900000000000006</v>
      </c>
      <c r="K126" s="8">
        <v>6.42</v>
      </c>
      <c r="L126" s="8">
        <v>6.38</v>
      </c>
      <c r="M126" s="8">
        <v>63.63600000000001</v>
      </c>
    </row>
    <row r="127" spans="1:13" x14ac:dyDescent="0.3">
      <c r="A127" s="8" t="s">
        <v>67</v>
      </c>
      <c r="B127" s="6">
        <v>1</v>
      </c>
      <c r="C127" s="8" t="s">
        <v>17</v>
      </c>
      <c r="D127" s="12">
        <v>43873</v>
      </c>
      <c r="E127" s="7" t="str">
        <f t="shared" si="1"/>
        <v>TN_C0C_F1_BIM_V</v>
      </c>
      <c r="F127" s="8">
        <v>7.2749999999999995</v>
      </c>
      <c r="G127" s="8">
        <v>7.25</v>
      </c>
      <c r="H127" s="8">
        <v>7.1249999999999991</v>
      </c>
      <c r="I127" s="8">
        <v>7.25</v>
      </c>
      <c r="J127" s="8">
        <v>6.625</v>
      </c>
      <c r="K127" s="8">
        <v>6.625</v>
      </c>
      <c r="L127" s="8">
        <v>6.9125000000000005</v>
      </c>
      <c r="M127" s="8">
        <v>65.976249999999993</v>
      </c>
    </row>
    <row r="128" spans="1:13" x14ac:dyDescent="0.3">
      <c r="A128" s="8" t="s">
        <v>75</v>
      </c>
      <c r="B128" s="6">
        <v>1</v>
      </c>
      <c r="C128" s="8" t="s">
        <v>17</v>
      </c>
      <c r="D128" s="12">
        <v>43873</v>
      </c>
      <c r="E128" s="7" t="str">
        <f t="shared" si="1"/>
        <v>TN_C0L_F1_BIM_V</v>
      </c>
      <c r="F128" s="8">
        <v>6.9625000000000004</v>
      </c>
      <c r="G128" s="8">
        <v>5.5250000000000004</v>
      </c>
      <c r="H128" s="8">
        <v>7.0125000000000002</v>
      </c>
      <c r="I128" s="8">
        <v>7.35</v>
      </c>
      <c r="J128" s="8">
        <v>7.3875000000000002</v>
      </c>
      <c r="K128" s="8">
        <v>7.3875000000000002</v>
      </c>
      <c r="L128" s="8">
        <v>7.3250000000000002</v>
      </c>
      <c r="M128" s="8">
        <v>67.262500000000003</v>
      </c>
    </row>
    <row r="129" spans="1:17" x14ac:dyDescent="0.3">
      <c r="A129" s="8" t="s">
        <v>76</v>
      </c>
      <c r="B129" s="6">
        <v>1</v>
      </c>
      <c r="C129" s="8" t="s">
        <v>17</v>
      </c>
      <c r="D129" s="12">
        <v>43873</v>
      </c>
      <c r="E129" s="7" t="str">
        <f t="shared" si="1"/>
        <v>TN_C0M_F1_BIM_V</v>
      </c>
      <c r="F129" s="8">
        <v>6.3</v>
      </c>
      <c r="G129" s="8">
        <v>5.7749999999999995</v>
      </c>
      <c r="H129" s="8">
        <v>6.45</v>
      </c>
      <c r="I129" s="8">
        <v>5.9499999999999993</v>
      </c>
      <c r="J129" s="8">
        <v>7.5125000000000002</v>
      </c>
      <c r="K129" s="8">
        <v>7.5125000000000002</v>
      </c>
      <c r="L129" s="8">
        <v>6.9625000000000004</v>
      </c>
      <c r="M129" s="8">
        <v>64.539999999999992</v>
      </c>
    </row>
    <row r="130" spans="1:17" x14ac:dyDescent="0.3">
      <c r="A130" s="8" t="s">
        <v>76</v>
      </c>
      <c r="B130" s="6">
        <v>1</v>
      </c>
      <c r="C130" s="8" t="s">
        <v>17</v>
      </c>
      <c r="D130" s="12">
        <v>43873</v>
      </c>
      <c r="E130" s="7" t="str">
        <f t="shared" ref="E130:E176" si="2">CONCATENATE(A130,"_F",B130,"_BIM_",C130)</f>
        <v>TN_C0M_F1_BIM_V</v>
      </c>
      <c r="F130" s="8">
        <v>7.2249999999999996</v>
      </c>
      <c r="G130" s="8">
        <v>8.3250000000000011</v>
      </c>
      <c r="H130" s="8">
        <v>8.4124999999999996</v>
      </c>
      <c r="I130" s="8">
        <v>6.5399999999999991</v>
      </c>
      <c r="J130" s="8">
        <v>7.5625</v>
      </c>
      <c r="K130" s="8">
        <v>7.5625</v>
      </c>
      <c r="L130" s="8">
        <v>7.5375000000000005</v>
      </c>
      <c r="M130" s="8">
        <v>72.308749999999989</v>
      </c>
    </row>
    <row r="131" spans="1:17" x14ac:dyDescent="0.3">
      <c r="A131" s="8" t="s">
        <v>77</v>
      </c>
      <c r="B131" s="6">
        <v>1</v>
      </c>
      <c r="C131" s="8" t="s">
        <v>17</v>
      </c>
      <c r="D131" s="12">
        <v>43873</v>
      </c>
      <c r="E131" s="7" t="str">
        <f t="shared" si="2"/>
        <v>TN_C0O_F1_BIM_V</v>
      </c>
      <c r="F131" s="8">
        <v>7.1875</v>
      </c>
      <c r="G131" s="8">
        <v>5.6750000000000007</v>
      </c>
      <c r="H131" s="8">
        <v>6.6374999999999993</v>
      </c>
      <c r="I131" s="8">
        <v>7.2700000000000005</v>
      </c>
      <c r="J131" s="8">
        <v>6.7375000000000007</v>
      </c>
      <c r="K131" s="8">
        <v>6.7375000000000007</v>
      </c>
      <c r="L131" s="8">
        <v>6.75</v>
      </c>
      <c r="M131" s="8">
        <v>63.817500000000003</v>
      </c>
    </row>
    <row r="132" spans="1:17" x14ac:dyDescent="0.3">
      <c r="A132" s="8" t="s">
        <v>79</v>
      </c>
      <c r="B132" s="6">
        <v>1</v>
      </c>
      <c r="C132" s="8" t="s">
        <v>17</v>
      </c>
      <c r="D132" s="12">
        <v>43873</v>
      </c>
      <c r="E132" s="7" t="str">
        <f t="shared" si="2"/>
        <v>TN_C0Q_F1_BIM_V</v>
      </c>
      <c r="F132" s="8">
        <v>6.9874999999999989</v>
      </c>
      <c r="G132" s="8">
        <v>6.8374999999999995</v>
      </c>
      <c r="H132" s="8">
        <v>7.2374999999999998</v>
      </c>
      <c r="I132" s="8">
        <v>5.92</v>
      </c>
      <c r="J132" s="8">
        <v>6.1499999999999995</v>
      </c>
      <c r="K132" s="8">
        <v>6.1499999999999995</v>
      </c>
      <c r="L132" s="8">
        <v>6.2874999999999996</v>
      </c>
      <c r="M132" s="8">
        <v>61.3675</v>
      </c>
    </row>
    <row r="133" spans="1:17" x14ac:dyDescent="0.3">
      <c r="A133" s="8" t="s">
        <v>64</v>
      </c>
      <c r="B133" s="6">
        <v>1</v>
      </c>
      <c r="C133" s="8" t="s">
        <v>17</v>
      </c>
      <c r="D133" s="12">
        <v>43880</v>
      </c>
      <c r="E133" s="7" t="str">
        <f t="shared" si="2"/>
        <v>TN_C0A_F1_BIM_V</v>
      </c>
      <c r="F133" s="8">
        <v>7.31</v>
      </c>
      <c r="G133" s="8">
        <v>7.35</v>
      </c>
      <c r="H133" s="8">
        <v>7.7099999999999991</v>
      </c>
      <c r="I133" s="8">
        <v>6.8666666666666663</v>
      </c>
      <c r="J133" s="8">
        <v>7.2899999999999991</v>
      </c>
      <c r="K133" s="8">
        <v>6.7299999999999995</v>
      </c>
      <c r="L133" s="8">
        <v>7.2299999999999995</v>
      </c>
      <c r="M133" s="8">
        <v>68.347666666666669</v>
      </c>
    </row>
    <row r="134" spans="1:17" x14ac:dyDescent="0.3">
      <c r="A134" s="8" t="s">
        <v>66</v>
      </c>
      <c r="B134" s="6">
        <v>1</v>
      </c>
      <c r="C134" s="8" t="s">
        <v>17</v>
      </c>
      <c r="D134" s="12">
        <v>43880</v>
      </c>
      <c r="E134" s="7" t="str">
        <f t="shared" si="2"/>
        <v>TN_C0B_F1_BIM_V</v>
      </c>
      <c r="F134" s="8">
        <v>7.2200000000000006</v>
      </c>
      <c r="G134" s="8">
        <v>7.4700000000000006</v>
      </c>
      <c r="H134" s="8">
        <v>6.65</v>
      </c>
      <c r="I134" s="8">
        <v>6.5777777777777775</v>
      </c>
      <c r="J134" s="8">
        <v>7.2600000000000007</v>
      </c>
      <c r="K134" s="8">
        <v>7.19</v>
      </c>
      <c r="L134" s="8">
        <v>7.18</v>
      </c>
      <c r="M134" s="8">
        <v>67.402777777777771</v>
      </c>
    </row>
    <row r="135" spans="1:17" x14ac:dyDescent="0.3">
      <c r="A135" s="8" t="s">
        <v>68</v>
      </c>
      <c r="B135" s="6">
        <v>1</v>
      </c>
      <c r="C135" s="8" t="s">
        <v>17</v>
      </c>
      <c r="D135" s="12">
        <v>43880</v>
      </c>
      <c r="E135" s="7" t="str">
        <f t="shared" si="2"/>
        <v>TN_C0D_F1_BIM_V</v>
      </c>
      <c r="F135" s="8">
        <v>7.25</v>
      </c>
      <c r="G135" s="8">
        <v>7.07</v>
      </c>
      <c r="H135" s="8">
        <v>7.1</v>
      </c>
      <c r="I135" s="8">
        <v>7.2888888888888896</v>
      </c>
      <c r="J135" s="8">
        <v>7.08</v>
      </c>
      <c r="K135" s="8">
        <v>7.0100000000000007</v>
      </c>
      <c r="L135" s="8">
        <v>7.0600000000000005</v>
      </c>
      <c r="M135" s="8">
        <v>67.494888888888894</v>
      </c>
    </row>
    <row r="136" spans="1:17" x14ac:dyDescent="0.3">
      <c r="A136" s="8" t="s">
        <v>69</v>
      </c>
      <c r="B136" s="6">
        <v>1</v>
      </c>
      <c r="C136" s="8" t="s">
        <v>17</v>
      </c>
      <c r="D136" s="12">
        <v>43880</v>
      </c>
      <c r="E136" s="7" t="str">
        <f t="shared" si="2"/>
        <v>TN_C0E_F1_BIM_V</v>
      </c>
      <c r="F136" s="8">
        <v>6.7899999999999991</v>
      </c>
      <c r="G136" s="8">
        <v>7.37</v>
      </c>
      <c r="H136" s="8">
        <v>7.5</v>
      </c>
      <c r="I136" s="8">
        <v>6.8444444444444441</v>
      </c>
      <c r="J136" s="8">
        <v>7.42</v>
      </c>
      <c r="K136" s="8">
        <v>6.7900000000000009</v>
      </c>
      <c r="L136" s="8">
        <v>6.7700000000000005</v>
      </c>
      <c r="M136" s="8">
        <v>67.099444444444444</v>
      </c>
    </row>
    <row r="137" spans="1:17" x14ac:dyDescent="0.3">
      <c r="A137" s="8" t="s">
        <v>72</v>
      </c>
      <c r="B137" s="6">
        <v>1</v>
      </c>
      <c r="C137" s="8" t="s">
        <v>17</v>
      </c>
      <c r="D137" s="12">
        <v>43880</v>
      </c>
      <c r="E137" s="7" t="str">
        <f t="shared" si="2"/>
        <v>TN_C0G_F1_BIM_V</v>
      </c>
      <c r="F137" s="8">
        <v>7.0200000000000005</v>
      </c>
      <c r="G137" s="8">
        <v>7.99</v>
      </c>
      <c r="H137" s="8">
        <v>7.2</v>
      </c>
      <c r="I137" s="8">
        <v>7.4333333333333336</v>
      </c>
      <c r="J137" s="8">
        <v>6.92</v>
      </c>
      <c r="K137" s="8">
        <v>7.0299999999999994</v>
      </c>
      <c r="L137" s="8">
        <v>6.9800000000000013</v>
      </c>
      <c r="M137" s="8">
        <v>68.087333333333333</v>
      </c>
    </row>
    <row r="138" spans="1:17" x14ac:dyDescent="0.3">
      <c r="A138" s="8" t="s">
        <v>76</v>
      </c>
      <c r="B138" s="6">
        <v>2</v>
      </c>
      <c r="C138" s="8" t="s">
        <v>17</v>
      </c>
      <c r="D138" s="12">
        <v>43880</v>
      </c>
      <c r="E138" s="7" t="str">
        <f t="shared" si="2"/>
        <v>TN_C0M_F2_BIM_V</v>
      </c>
      <c r="F138" s="8">
        <v>7.4500000000000011</v>
      </c>
      <c r="G138" s="8">
        <v>6.34</v>
      </c>
      <c r="H138" s="8">
        <v>6.8900000000000006</v>
      </c>
      <c r="I138" s="8">
        <v>5.8555555555555561</v>
      </c>
      <c r="J138" s="8">
        <v>6.9</v>
      </c>
      <c r="K138" s="8">
        <v>6.5900000000000007</v>
      </c>
      <c r="L138" s="8">
        <v>6.7100000000000009</v>
      </c>
      <c r="M138" s="8">
        <v>63.601555555555564</v>
      </c>
      <c r="N138" s="13"/>
      <c r="O138" s="14"/>
      <c r="P138" s="13"/>
      <c r="Q138" s="15"/>
    </row>
    <row r="139" spans="1:17" x14ac:dyDescent="0.3">
      <c r="A139" s="8" t="s">
        <v>64</v>
      </c>
      <c r="B139" s="6">
        <v>2</v>
      </c>
      <c r="C139" s="8" t="s">
        <v>17</v>
      </c>
      <c r="D139" s="12">
        <v>43894</v>
      </c>
      <c r="E139" s="7" t="str">
        <f t="shared" si="2"/>
        <v>TN_C0A_F2_BIM_V</v>
      </c>
      <c r="F139" s="8">
        <v>7.2555555555555555</v>
      </c>
      <c r="G139" s="8">
        <v>6.6999999999999993</v>
      </c>
      <c r="H139" s="8">
        <v>7.4333333333333336</v>
      </c>
      <c r="I139" s="8">
        <v>6.74</v>
      </c>
      <c r="J139" s="8">
        <v>7.7333333333333343</v>
      </c>
      <c r="K139" s="8">
        <v>7.5333333333333332</v>
      </c>
      <c r="L139" s="8">
        <v>7.1444444444444457</v>
      </c>
      <c r="M139" s="8">
        <v>69.211111111111123</v>
      </c>
      <c r="N139" s="13"/>
      <c r="O139" s="14"/>
      <c r="P139" s="13"/>
      <c r="Q139" s="15"/>
    </row>
    <row r="140" spans="1:17" x14ac:dyDescent="0.3">
      <c r="A140" s="8" t="s">
        <v>67</v>
      </c>
      <c r="B140" s="6">
        <v>2</v>
      </c>
      <c r="C140" s="8" t="s">
        <v>17</v>
      </c>
      <c r="D140" s="12">
        <v>43894</v>
      </c>
      <c r="E140" s="7" t="str">
        <f t="shared" si="2"/>
        <v>TN_C0C_F2_BIM_V</v>
      </c>
      <c r="F140" s="8">
        <v>7.4366666666666656</v>
      </c>
      <c r="G140" s="8">
        <v>7.5333333333333332</v>
      </c>
      <c r="H140" s="8">
        <v>7.5888888888888886</v>
      </c>
      <c r="I140" s="8">
        <v>6.82</v>
      </c>
      <c r="J140" s="8">
        <v>7.3666666666666663</v>
      </c>
      <c r="K140" s="8">
        <v>7.4888888888888898</v>
      </c>
      <c r="L140" s="8">
        <v>7.4222222222222216</v>
      </c>
      <c r="M140" s="8">
        <v>70.276666666666671</v>
      </c>
      <c r="N140" s="13"/>
      <c r="O140" s="14"/>
      <c r="P140" s="13"/>
      <c r="Q140" s="15"/>
    </row>
    <row r="141" spans="1:17" x14ac:dyDescent="0.3">
      <c r="A141" s="8" t="s">
        <v>71</v>
      </c>
      <c r="B141" s="6">
        <v>1</v>
      </c>
      <c r="C141" s="8" t="s">
        <v>17</v>
      </c>
      <c r="D141" s="12">
        <v>43894</v>
      </c>
      <c r="E141" s="7" t="str">
        <f t="shared" si="2"/>
        <v>TN_C0F_F1_BIM_V</v>
      </c>
      <c r="F141" s="8">
        <v>7.333333333333333</v>
      </c>
      <c r="G141" s="8">
        <v>7.3555555555555561</v>
      </c>
      <c r="H141" s="8">
        <v>6.8333333333333321</v>
      </c>
      <c r="I141" s="8">
        <v>6.8599999999999994</v>
      </c>
      <c r="J141" s="8">
        <v>7.8111111111111127</v>
      </c>
      <c r="K141" s="8">
        <v>7.1222222222222218</v>
      </c>
      <c r="L141" s="8">
        <v>6.9444444444444446</v>
      </c>
      <c r="M141" s="8">
        <v>68.336666666666673</v>
      </c>
      <c r="N141" s="13"/>
      <c r="O141" s="14"/>
      <c r="P141" s="13"/>
      <c r="Q141" s="15"/>
    </row>
    <row r="142" spans="1:17" x14ac:dyDescent="0.3">
      <c r="A142" s="8" t="s">
        <v>73</v>
      </c>
      <c r="B142" s="6">
        <v>1</v>
      </c>
      <c r="C142" s="8" t="s">
        <v>17</v>
      </c>
      <c r="D142" s="12">
        <v>43894</v>
      </c>
      <c r="E142" s="7" t="str">
        <f t="shared" si="2"/>
        <v>TN_C0H_F1_BIM_V</v>
      </c>
      <c r="F142" s="8">
        <v>6.5888888888888886</v>
      </c>
      <c r="G142" s="8">
        <v>6.7222222222222223</v>
      </c>
      <c r="H142" s="8">
        <v>7.5</v>
      </c>
      <c r="I142" s="8">
        <v>6.7200000000000006</v>
      </c>
      <c r="J142" s="8">
        <v>7.3777777777777782</v>
      </c>
      <c r="K142" s="8">
        <v>7.2444444444444436</v>
      </c>
      <c r="L142" s="8">
        <v>7.1966666666666681</v>
      </c>
      <c r="M142" s="8">
        <v>67.597666666666669</v>
      </c>
      <c r="N142" s="13"/>
      <c r="O142" s="14"/>
      <c r="P142" s="13"/>
      <c r="Q142" s="15"/>
    </row>
    <row r="143" spans="1:17" x14ac:dyDescent="0.3">
      <c r="A143" s="8" t="s">
        <v>74</v>
      </c>
      <c r="B143" s="6">
        <v>1</v>
      </c>
      <c r="C143" s="8" t="s">
        <v>17</v>
      </c>
      <c r="D143" s="12">
        <v>43894</v>
      </c>
      <c r="E143" s="7" t="str">
        <f t="shared" si="2"/>
        <v>TN_C0I_F1_BIM_V</v>
      </c>
      <c r="F143" s="8">
        <v>6.5555555555555554</v>
      </c>
      <c r="G143" s="8">
        <v>6.7666666666666666</v>
      </c>
      <c r="H143" s="8">
        <v>6.5666666666666664</v>
      </c>
      <c r="I143" s="8">
        <v>7.580000000000001</v>
      </c>
      <c r="J143" s="8">
        <v>7.333333333333333</v>
      </c>
      <c r="K143" s="8">
        <v>6.9888888888888889</v>
      </c>
      <c r="L143" s="8">
        <v>7.0666666666666655</v>
      </c>
      <c r="M143" s="8">
        <v>66.498888888888885</v>
      </c>
      <c r="N143" s="13"/>
      <c r="O143" s="14"/>
      <c r="P143" s="13"/>
      <c r="Q143" s="15"/>
    </row>
    <row r="144" spans="1:17" x14ac:dyDescent="0.3">
      <c r="A144" s="8" t="s">
        <v>78</v>
      </c>
      <c r="B144" s="6">
        <v>1</v>
      </c>
      <c r="C144" s="8" t="s">
        <v>17</v>
      </c>
      <c r="D144" s="12">
        <v>43894</v>
      </c>
      <c r="E144" s="7" t="str">
        <f t="shared" si="2"/>
        <v>TN_C0P_F1_BIM_V</v>
      </c>
      <c r="F144" s="8">
        <v>7.1477777777777778</v>
      </c>
      <c r="G144" s="8">
        <v>7.333333333333333</v>
      </c>
      <c r="H144" s="8">
        <v>7.1444444444444439</v>
      </c>
      <c r="I144" s="8">
        <v>8.08</v>
      </c>
      <c r="J144" s="8">
        <v>7.466666666666665</v>
      </c>
      <c r="K144" s="8">
        <v>7.4222222222222216</v>
      </c>
      <c r="L144" s="8">
        <v>7.8555555555555561</v>
      </c>
      <c r="M144" s="8">
        <v>71.256666666666661</v>
      </c>
      <c r="N144" s="13"/>
      <c r="O144" s="14"/>
      <c r="P144" s="13"/>
      <c r="Q144" s="15"/>
    </row>
    <row r="145" spans="1:17" x14ac:dyDescent="0.3">
      <c r="A145" s="8" t="s">
        <v>64</v>
      </c>
      <c r="B145" s="6">
        <v>3</v>
      </c>
      <c r="C145" s="8" t="s">
        <v>17</v>
      </c>
      <c r="D145" s="12">
        <v>43901</v>
      </c>
      <c r="E145" s="7" t="str">
        <f t="shared" si="2"/>
        <v>TN_C0A_F3_BIM_V</v>
      </c>
      <c r="F145" s="8">
        <v>7.2200000000000006</v>
      </c>
      <c r="G145" s="8">
        <v>7.24</v>
      </c>
      <c r="H145" s="8">
        <v>7.3400000000000007</v>
      </c>
      <c r="I145" s="8">
        <v>7.6</v>
      </c>
      <c r="J145" s="8">
        <v>7.62</v>
      </c>
      <c r="K145" s="8">
        <v>7.3400000000000007</v>
      </c>
      <c r="L145" s="8">
        <v>7.0400000000000009</v>
      </c>
      <c r="M145" s="8">
        <v>69.736000000000004</v>
      </c>
      <c r="N145" s="13"/>
      <c r="O145" s="14"/>
      <c r="P145" s="13"/>
      <c r="Q145" s="15"/>
    </row>
    <row r="146" spans="1:17" x14ac:dyDescent="0.3">
      <c r="A146" s="8" t="s">
        <v>67</v>
      </c>
      <c r="B146" s="6">
        <v>3</v>
      </c>
      <c r="C146" s="8" t="s">
        <v>17</v>
      </c>
      <c r="D146" s="12">
        <v>43901</v>
      </c>
      <c r="E146" s="7" t="str">
        <f t="shared" si="2"/>
        <v>TN_C0C_F3_BIM_V</v>
      </c>
      <c r="F146" s="8">
        <v>8.0599999999999987</v>
      </c>
      <c r="G146" s="8">
        <v>7.4800000000000013</v>
      </c>
      <c r="H146" s="8">
        <v>7.74</v>
      </c>
      <c r="I146" s="8">
        <v>7.0600000000000005</v>
      </c>
      <c r="J146" s="8">
        <v>7.42</v>
      </c>
      <c r="K146" s="8">
        <v>6.62</v>
      </c>
      <c r="L146" s="8">
        <v>7.1599999999999993</v>
      </c>
      <c r="M146" s="8">
        <v>69.36399999999999</v>
      </c>
      <c r="N146" s="13"/>
      <c r="O146" s="14"/>
      <c r="P146" s="13"/>
      <c r="Q146" s="15"/>
    </row>
    <row r="147" spans="1:17" x14ac:dyDescent="0.3">
      <c r="A147" s="8" t="s">
        <v>69</v>
      </c>
      <c r="B147" s="6">
        <v>2</v>
      </c>
      <c r="C147" s="8" t="s">
        <v>17</v>
      </c>
      <c r="D147" s="12">
        <v>43901</v>
      </c>
      <c r="E147" s="7" t="str">
        <f t="shared" si="2"/>
        <v>TN_C0E_F2_BIM_V</v>
      </c>
      <c r="F147" s="8">
        <v>6.8599999999999994</v>
      </c>
      <c r="G147" s="8">
        <v>8.0799999999999983</v>
      </c>
      <c r="H147" s="8">
        <v>8.06</v>
      </c>
      <c r="I147" s="8">
        <v>8.26</v>
      </c>
      <c r="J147" s="8">
        <v>7.7199999999999989</v>
      </c>
      <c r="K147" s="8">
        <v>6.9</v>
      </c>
      <c r="L147" s="8">
        <v>6.4599999999999991</v>
      </c>
      <c r="M147" s="8">
        <v>70.203999999999994</v>
      </c>
      <c r="N147" s="13"/>
      <c r="O147" s="14"/>
      <c r="P147" s="13"/>
      <c r="Q147" s="15"/>
    </row>
    <row r="148" spans="1:17" x14ac:dyDescent="0.3">
      <c r="A148" s="8" t="s">
        <v>72</v>
      </c>
      <c r="B148" s="6">
        <v>2</v>
      </c>
      <c r="C148" s="8" t="s">
        <v>17</v>
      </c>
      <c r="D148" s="12">
        <v>43901</v>
      </c>
      <c r="E148" s="7" t="str">
        <f t="shared" si="2"/>
        <v>TN_C0G_F2_BIM_V</v>
      </c>
      <c r="F148" s="8">
        <v>7.26</v>
      </c>
      <c r="G148" s="8">
        <v>7.8600000000000012</v>
      </c>
      <c r="H148" s="8">
        <v>7.94</v>
      </c>
      <c r="I148" s="8">
        <v>7.1599999999999993</v>
      </c>
      <c r="J148" s="8">
        <v>7.839999999999999</v>
      </c>
      <c r="K148" s="8">
        <v>7.0200000000000005</v>
      </c>
      <c r="L148" s="8">
        <v>7.2799999999999994</v>
      </c>
      <c r="M148" s="8">
        <v>70.941999999999993</v>
      </c>
      <c r="N148" s="13"/>
      <c r="O148" s="14"/>
      <c r="P148" s="13"/>
      <c r="Q148" s="15"/>
    </row>
    <row r="149" spans="1:17" x14ac:dyDescent="0.3">
      <c r="A149" s="8" t="s">
        <v>76</v>
      </c>
      <c r="B149" s="6">
        <v>2</v>
      </c>
      <c r="C149" s="8" t="s">
        <v>17</v>
      </c>
      <c r="D149" s="12">
        <v>43901</v>
      </c>
      <c r="E149" s="7" t="str">
        <f t="shared" si="2"/>
        <v>TN_C0M_F2_BIM_V</v>
      </c>
      <c r="F149" s="8">
        <v>7.08</v>
      </c>
      <c r="G149" s="8">
        <v>7.9799999999999995</v>
      </c>
      <c r="H149" s="8">
        <v>8.1999999999999993</v>
      </c>
      <c r="I149" s="8">
        <v>6.660000000000001</v>
      </c>
      <c r="J149" s="8">
        <v>7.7600000000000007</v>
      </c>
      <c r="K149" s="8">
        <v>7.5</v>
      </c>
      <c r="L149" s="8">
        <v>7.74</v>
      </c>
      <c r="M149" s="8">
        <v>72.23</v>
      </c>
      <c r="N149" s="13"/>
      <c r="O149" s="14"/>
      <c r="P149" s="13"/>
      <c r="Q149" s="15"/>
    </row>
    <row r="150" spans="1:17" x14ac:dyDescent="0.3">
      <c r="A150" s="8" t="s">
        <v>80</v>
      </c>
      <c r="B150" s="6">
        <v>1</v>
      </c>
      <c r="C150" s="8" t="s">
        <v>17</v>
      </c>
      <c r="D150" s="12">
        <v>43901</v>
      </c>
      <c r="E150" s="7" t="str">
        <f t="shared" si="2"/>
        <v>TN_C0R_F1_BIM_V</v>
      </c>
      <c r="F150" s="8">
        <v>6.8</v>
      </c>
      <c r="G150" s="8">
        <v>7.5200000000000005</v>
      </c>
      <c r="H150" s="8">
        <v>7.38</v>
      </c>
      <c r="I150" s="8">
        <v>6.7600000000000007</v>
      </c>
      <c r="J150" s="8">
        <v>6.9799999999999995</v>
      </c>
      <c r="K150" s="8">
        <v>6.9399999999999995</v>
      </c>
      <c r="L150" s="8">
        <v>6.92</v>
      </c>
      <c r="M150" s="8">
        <v>66.796000000000006</v>
      </c>
      <c r="N150" s="13"/>
      <c r="O150" s="14"/>
      <c r="P150" s="13"/>
      <c r="Q150" s="15"/>
    </row>
    <row r="151" spans="1:17" x14ac:dyDescent="0.3">
      <c r="D151" s="12">
        <v>43908</v>
      </c>
      <c r="E151" s="7" t="str">
        <f t="shared" si="2"/>
        <v>_F_BIM_</v>
      </c>
    </row>
    <row r="152" spans="1:17" x14ac:dyDescent="0.3">
      <c r="D152" s="12">
        <v>43908</v>
      </c>
      <c r="E152" s="7" t="str">
        <f t="shared" si="2"/>
        <v>_F_BIM_</v>
      </c>
    </row>
    <row r="153" spans="1:17" x14ac:dyDescent="0.3">
      <c r="D153" s="12">
        <v>43908</v>
      </c>
      <c r="E153" s="7" t="str">
        <f t="shared" si="2"/>
        <v>_F_BIM_</v>
      </c>
    </row>
    <row r="154" spans="1:17" x14ac:dyDescent="0.3">
      <c r="D154" s="12">
        <v>43908</v>
      </c>
      <c r="E154" s="7" t="str">
        <f t="shared" si="2"/>
        <v>_F_BIM_</v>
      </c>
    </row>
    <row r="155" spans="1:17" x14ac:dyDescent="0.3">
      <c r="D155" s="12">
        <v>43908</v>
      </c>
      <c r="E155" s="7" t="str">
        <f t="shared" si="2"/>
        <v>_F_BIM_</v>
      </c>
    </row>
    <row r="156" spans="1:17" x14ac:dyDescent="0.3">
      <c r="D156" s="12">
        <v>43915</v>
      </c>
      <c r="E156" s="7" t="str">
        <f t="shared" si="2"/>
        <v>_F_BIM_</v>
      </c>
    </row>
    <row r="157" spans="1:17" x14ac:dyDescent="0.3">
      <c r="D157" s="12">
        <v>43915</v>
      </c>
      <c r="E157" s="7" t="str">
        <f t="shared" si="2"/>
        <v>_F_BIM_</v>
      </c>
    </row>
    <row r="158" spans="1:17" x14ac:dyDescent="0.3">
      <c r="D158" s="12">
        <v>43915</v>
      </c>
      <c r="E158" s="7" t="str">
        <f t="shared" si="2"/>
        <v>_F_BIM_</v>
      </c>
    </row>
    <row r="159" spans="1:17" x14ac:dyDescent="0.3">
      <c r="D159" s="12">
        <v>43915</v>
      </c>
      <c r="E159" s="7" t="str">
        <f t="shared" si="2"/>
        <v>_F_BIM_</v>
      </c>
    </row>
    <row r="160" spans="1:17" x14ac:dyDescent="0.3">
      <c r="D160" s="12">
        <v>43915</v>
      </c>
      <c r="E160" s="7" t="str">
        <f t="shared" si="2"/>
        <v>_F_BIM_</v>
      </c>
    </row>
    <row r="161" spans="4:5" x14ac:dyDescent="0.3">
      <c r="D161" s="12">
        <v>43915</v>
      </c>
      <c r="E161" s="7" t="str">
        <f t="shared" si="2"/>
        <v>_F_BIM_</v>
      </c>
    </row>
    <row r="162" spans="4:5" x14ac:dyDescent="0.3">
      <c r="D162" s="12">
        <v>43929</v>
      </c>
      <c r="E162" s="7" t="str">
        <f t="shared" si="2"/>
        <v>_F_BIM_</v>
      </c>
    </row>
    <row r="163" spans="4:5" x14ac:dyDescent="0.3">
      <c r="D163" s="12">
        <v>43929</v>
      </c>
      <c r="E163" s="7" t="str">
        <f t="shared" si="2"/>
        <v>_F_BIM_</v>
      </c>
    </row>
    <row r="164" spans="4:5" x14ac:dyDescent="0.3">
      <c r="D164" s="12">
        <v>43929</v>
      </c>
      <c r="E164" s="7" t="str">
        <f t="shared" si="2"/>
        <v>_F_BIM_</v>
      </c>
    </row>
    <row r="165" spans="4:5" x14ac:dyDescent="0.3">
      <c r="D165" s="12">
        <v>43929</v>
      </c>
      <c r="E165" s="7" t="str">
        <f t="shared" si="2"/>
        <v>_F_BIM_</v>
      </c>
    </row>
    <row r="166" spans="4:5" x14ac:dyDescent="0.3">
      <c r="D166" s="12">
        <v>43929</v>
      </c>
      <c r="E166" s="7" t="str">
        <f t="shared" si="2"/>
        <v>_F_BIM_</v>
      </c>
    </row>
    <row r="167" spans="4:5" x14ac:dyDescent="0.3">
      <c r="D167" s="12">
        <v>43929</v>
      </c>
      <c r="E167" s="7" t="str">
        <f t="shared" si="2"/>
        <v>_F_BIM_</v>
      </c>
    </row>
    <row r="168" spans="4:5" x14ac:dyDescent="0.3">
      <c r="D168" s="12">
        <v>43936</v>
      </c>
      <c r="E168" s="7" t="str">
        <f t="shared" si="2"/>
        <v>_F_BIM_</v>
      </c>
    </row>
    <row r="169" spans="4:5" x14ac:dyDescent="0.3">
      <c r="D169" s="12">
        <v>43936</v>
      </c>
      <c r="E169" s="7" t="str">
        <f t="shared" si="2"/>
        <v>_F_BIM_</v>
      </c>
    </row>
    <row r="170" spans="4:5" x14ac:dyDescent="0.3">
      <c r="D170" s="12">
        <v>43936</v>
      </c>
      <c r="E170" s="7" t="str">
        <f t="shared" si="2"/>
        <v>_F_BIM_</v>
      </c>
    </row>
    <row r="171" spans="4:5" x14ac:dyDescent="0.3">
      <c r="D171" s="12">
        <v>43936</v>
      </c>
      <c r="E171" s="7" t="str">
        <f t="shared" si="2"/>
        <v>_F_BIM_</v>
      </c>
    </row>
    <row r="172" spans="4:5" x14ac:dyDescent="0.3">
      <c r="D172" s="12">
        <v>43936</v>
      </c>
      <c r="E172" s="7" t="str">
        <f t="shared" si="2"/>
        <v>_F_BIM_</v>
      </c>
    </row>
    <row r="173" spans="4:5" x14ac:dyDescent="0.3">
      <c r="D173" s="12">
        <v>43936</v>
      </c>
      <c r="E173" s="7" t="str">
        <f t="shared" si="2"/>
        <v>_F_BIM_</v>
      </c>
    </row>
    <row r="174" spans="4:5" x14ac:dyDescent="0.3">
      <c r="E174" s="7" t="str">
        <f t="shared" si="2"/>
        <v>_F_BIM_</v>
      </c>
    </row>
    <row r="175" spans="4:5" x14ac:dyDescent="0.3">
      <c r="E175" s="7" t="str">
        <f t="shared" si="2"/>
        <v>_F_BIM_</v>
      </c>
    </row>
    <row r="176" spans="4:5" x14ac:dyDescent="0.3">
      <c r="E176" s="7" t="str">
        <f t="shared" si="2"/>
        <v>_F_BIM_</v>
      </c>
    </row>
    <row r="180" spans="16:16" x14ac:dyDescent="0.3">
      <c r="P180">
        <f>24/6</f>
        <v>4</v>
      </c>
    </row>
  </sheetData>
  <conditionalFormatting sqref="A97:A150">
    <cfRule type="cellIs" dxfId="21" priority="4" operator="equal">
      <formula>"N/A"</formula>
    </cfRule>
  </conditionalFormatting>
  <conditionalFormatting sqref="C103:D150">
    <cfRule type="cellIs" dxfId="20" priority="5" operator="equal">
      <formula>"N/A"</formula>
    </cfRule>
  </conditionalFormatting>
  <conditionalFormatting sqref="C97:M102">
    <cfRule type="cellIs" dxfId="19" priority="6" operator="equal">
      <formula>"N/A"</formula>
    </cfRule>
  </conditionalFormatting>
  <conditionalFormatting sqref="D151:D173">
    <cfRule type="cellIs" dxfId="18" priority="1" operator="equal">
      <formula>"N/A"</formula>
    </cfRule>
  </conditionalFormatting>
  <conditionalFormatting sqref="F2:L42">
    <cfRule type="cellIs" dxfId="17" priority="9" operator="equal">
      <formula>"N/A"</formula>
    </cfRule>
  </conditionalFormatting>
  <conditionalFormatting sqref="F43:M86">
    <cfRule type="cellIs" dxfId="16" priority="8" operator="equal">
      <formula>"N/A"</formula>
    </cfRule>
  </conditionalFormatting>
  <conditionalFormatting sqref="F91:M96">
    <cfRule type="cellIs" dxfId="15" priority="7" operator="equal">
      <formula>"N/A"</formula>
    </cfRule>
  </conditionalFormatting>
  <conditionalFormatting sqref="F103:M150">
    <cfRule type="cellIs" dxfId="14" priority="3" operator="equal">
      <formula>"N/A"</formula>
    </cfRule>
  </conditionalFormatting>
  <conditionalFormatting sqref="M13 M35:M42 F87:I90 M87:M90">
    <cfRule type="cellIs" dxfId="13" priority="10" operator="equal">
      <formula>"N/A"</formula>
    </cfRule>
  </conditionalFormatting>
  <conditionalFormatting sqref="O138:O150">
    <cfRule type="cellIs" dxfId="12" priority="2" operator="equal">
      <formula>"N/A"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18F6B-8AAC-4483-8D64-F189F8323B68}">
  <dimension ref="A1:U178"/>
  <sheetViews>
    <sheetView zoomScaleNormal="100" workbookViewId="0">
      <pane ySplit="1" topLeftCell="A2" activePane="bottomLeft" state="frozen"/>
      <selection pane="bottomLeft" activeCell="D1" sqref="D1:D1048576"/>
    </sheetView>
  </sheetViews>
  <sheetFormatPr defaultRowHeight="14.4" x14ac:dyDescent="0.3"/>
  <cols>
    <col min="1" max="1" width="9.5546875" style="36" customWidth="1"/>
    <col min="2" max="2" width="5.77734375" customWidth="1"/>
    <col min="3" max="3" width="6.33203125" customWidth="1"/>
    <col min="4" max="4" width="8.21875" customWidth="1"/>
    <col min="5" max="5" width="9.21875" customWidth="1"/>
    <col min="6" max="6" width="7.109375" customWidth="1"/>
    <col min="7" max="7" width="8.21875" customWidth="1"/>
    <col min="8" max="8" width="7.88671875" customWidth="1"/>
    <col min="9" max="9" width="10.5546875" style="35" customWidth="1"/>
    <col min="10" max="10" width="9" customWidth="1"/>
    <col min="11" max="11" width="18.6640625" customWidth="1"/>
    <col min="12" max="12" width="10" customWidth="1"/>
    <col min="13" max="15" width="8.88671875" customWidth="1"/>
    <col min="16" max="16" width="9.21875" customWidth="1"/>
    <col min="17" max="17" width="8.21875" customWidth="1"/>
    <col min="18" max="18" width="8.33203125" customWidth="1"/>
    <col min="19" max="19" width="8.77734375" customWidth="1"/>
    <col min="20" max="20" width="16" customWidth="1"/>
    <col min="21" max="21" width="15.109375" style="26" customWidth="1"/>
  </cols>
  <sheetData>
    <row r="1" spans="1:20" ht="43.2" x14ac:dyDescent="0.3">
      <c r="A1" s="16" t="s">
        <v>20</v>
      </c>
      <c r="B1" s="17" t="s">
        <v>21</v>
      </c>
      <c r="C1" s="18" t="s">
        <v>22</v>
      </c>
      <c r="D1" s="19" t="s">
        <v>23</v>
      </c>
      <c r="E1" s="20" t="s">
        <v>24</v>
      </c>
      <c r="F1" s="20" t="s">
        <v>25</v>
      </c>
      <c r="G1" s="21" t="s">
        <v>26</v>
      </c>
      <c r="H1" s="21" t="s">
        <v>27</v>
      </c>
      <c r="I1" s="22" t="s">
        <v>28</v>
      </c>
      <c r="J1" s="23" t="s">
        <v>29</v>
      </c>
      <c r="K1" s="1" t="s">
        <v>4</v>
      </c>
      <c r="L1" s="2" t="s">
        <v>5</v>
      </c>
      <c r="M1" s="2" t="s">
        <v>6</v>
      </c>
      <c r="N1" s="2" t="s">
        <v>7</v>
      </c>
      <c r="O1" s="2" t="s">
        <v>8</v>
      </c>
      <c r="P1" s="3" t="s">
        <v>9</v>
      </c>
      <c r="Q1" s="3" t="s">
        <v>10</v>
      </c>
      <c r="R1" s="3" t="s">
        <v>11</v>
      </c>
      <c r="S1" s="24" t="s">
        <v>30</v>
      </c>
      <c r="T1" s="25" t="s">
        <v>12</v>
      </c>
    </row>
    <row r="2" spans="1:20" x14ac:dyDescent="0.3">
      <c r="A2" s="7" t="s">
        <v>31</v>
      </c>
      <c r="B2" s="27" t="s">
        <v>13</v>
      </c>
      <c r="C2" s="6" t="s">
        <v>32</v>
      </c>
      <c r="D2" s="6" t="s">
        <v>64</v>
      </c>
      <c r="E2" s="7">
        <v>71641</v>
      </c>
      <c r="F2" s="7" t="s">
        <v>33</v>
      </c>
      <c r="G2" s="7" t="s">
        <v>34</v>
      </c>
      <c r="H2" s="7" t="s">
        <v>35</v>
      </c>
      <c r="I2" s="5">
        <v>44467</v>
      </c>
      <c r="J2" s="7">
        <v>1</v>
      </c>
      <c r="K2" s="7" t="str">
        <f>CONCATENATE(D2,"_F",G2,"_BIM_",B2)</f>
        <v>TN_C0A_F1A_BIM_I</v>
      </c>
      <c r="L2" s="8">
        <v>6.6749999999999998</v>
      </c>
      <c r="M2" s="8">
        <v>7.3124999999999991</v>
      </c>
      <c r="N2" s="8">
        <v>7.1875</v>
      </c>
      <c r="O2" s="8">
        <v>7.2</v>
      </c>
      <c r="P2" s="8">
        <v>7.2124999999999995</v>
      </c>
      <c r="Q2" s="8">
        <v>6.7124999999999995</v>
      </c>
      <c r="R2" s="8">
        <v>7.5624999999999991</v>
      </c>
      <c r="S2" s="8">
        <v>6.9499999999999993</v>
      </c>
      <c r="T2" s="8">
        <v>67.731250000000003</v>
      </c>
    </row>
    <row r="3" spans="1:20" x14ac:dyDescent="0.3">
      <c r="A3" s="7" t="s">
        <v>31</v>
      </c>
      <c r="B3" s="27" t="s">
        <v>13</v>
      </c>
      <c r="C3" s="6" t="s">
        <v>32</v>
      </c>
      <c r="D3" s="6" t="s">
        <v>67</v>
      </c>
      <c r="E3" s="7">
        <v>74616</v>
      </c>
      <c r="F3" s="7" t="s">
        <v>33</v>
      </c>
      <c r="G3" s="7" t="s">
        <v>34</v>
      </c>
      <c r="H3" s="7" t="s">
        <v>36</v>
      </c>
      <c r="I3" s="5">
        <v>44467</v>
      </c>
      <c r="J3" s="7">
        <v>1</v>
      </c>
      <c r="K3" s="7" t="str">
        <f>CONCATENATE(D3,"_F",G3,"_BIM_",B3)</f>
        <v>TN_C0C_F1A_BIM_I</v>
      </c>
      <c r="L3" s="8">
        <v>6.7125000000000004</v>
      </c>
      <c r="M3" s="8">
        <v>5.95</v>
      </c>
      <c r="N3" s="8">
        <v>5.9874999999999998</v>
      </c>
      <c r="O3" s="8">
        <v>7.8125</v>
      </c>
      <c r="P3" s="8">
        <v>7.4874999999999998</v>
      </c>
      <c r="Q3" s="8">
        <v>7.375</v>
      </c>
      <c r="R3" s="8">
        <v>7.625</v>
      </c>
      <c r="S3" s="8">
        <v>7.3</v>
      </c>
      <c r="T3" s="8">
        <v>67.225000000000009</v>
      </c>
    </row>
    <row r="4" spans="1:20" x14ac:dyDescent="0.3">
      <c r="A4" s="7" t="s">
        <v>31</v>
      </c>
      <c r="B4" s="27" t="s">
        <v>13</v>
      </c>
      <c r="C4" s="6" t="s">
        <v>32</v>
      </c>
      <c r="D4" s="6" t="s">
        <v>76</v>
      </c>
      <c r="E4" s="7">
        <v>85066</v>
      </c>
      <c r="F4" s="7" t="s">
        <v>33</v>
      </c>
      <c r="G4" s="7" t="s">
        <v>34</v>
      </c>
      <c r="H4" s="7" t="s">
        <v>37</v>
      </c>
      <c r="I4" s="5">
        <v>44467</v>
      </c>
      <c r="J4" s="7">
        <v>1</v>
      </c>
      <c r="K4" s="7" t="str">
        <f>CONCATENATE(D4,"_F",G4,"_BIM_",B4)</f>
        <v>TN_C0M_F1A_BIM_I</v>
      </c>
      <c r="L4" s="8">
        <v>6.6875000000000009</v>
      </c>
      <c r="M4" s="8">
        <v>4.9874999999999998</v>
      </c>
      <c r="N4" s="8">
        <v>6.875</v>
      </c>
      <c r="O4" s="8">
        <v>6</v>
      </c>
      <c r="P4" s="8">
        <v>7.4124999999999996</v>
      </c>
      <c r="Q4" s="8">
        <v>6.5124999999999993</v>
      </c>
      <c r="R4" s="8">
        <v>7.0124999999999993</v>
      </c>
      <c r="S4" s="8">
        <v>7.0375000000000005</v>
      </c>
      <c r="T4" s="8">
        <v>62.857499999999995</v>
      </c>
    </row>
    <row r="5" spans="1:20" x14ac:dyDescent="0.3">
      <c r="A5" s="7" t="s">
        <v>31</v>
      </c>
      <c r="B5" s="27" t="s">
        <v>13</v>
      </c>
      <c r="C5" s="6" t="s">
        <v>32</v>
      </c>
      <c r="D5" s="6" t="s">
        <v>76</v>
      </c>
      <c r="E5" s="7">
        <v>86688</v>
      </c>
      <c r="F5" s="7" t="s">
        <v>33</v>
      </c>
      <c r="G5" s="7" t="s">
        <v>34</v>
      </c>
      <c r="H5" s="7" t="s">
        <v>38</v>
      </c>
      <c r="I5" s="5">
        <v>44467</v>
      </c>
      <c r="J5" s="7">
        <v>1</v>
      </c>
      <c r="K5" s="7" t="str">
        <f>CONCATENATE(D5,"_F",G5,"_BIM_",B5)</f>
        <v>TN_C0M_F1A_BIM_I</v>
      </c>
      <c r="L5" s="8">
        <v>6.5874999999999995</v>
      </c>
      <c r="M5" s="8">
        <v>8.0749999999999993</v>
      </c>
      <c r="N5" s="8">
        <v>6.9875000000000007</v>
      </c>
      <c r="O5" s="8">
        <v>7.3250000000000002</v>
      </c>
      <c r="P5" s="8">
        <v>7.4249999999999998</v>
      </c>
      <c r="Q5" s="8">
        <v>7.5499999999999989</v>
      </c>
      <c r="R5" s="8">
        <v>7.6375000000000002</v>
      </c>
      <c r="S5" s="8">
        <v>7.2249999999999996</v>
      </c>
      <c r="T5" s="8">
        <v>70.267499999999984</v>
      </c>
    </row>
    <row r="6" spans="1:20" x14ac:dyDescent="0.3">
      <c r="A6" s="7" t="s">
        <v>31</v>
      </c>
      <c r="B6" s="27" t="s">
        <v>13</v>
      </c>
      <c r="C6" s="6" t="s">
        <v>32</v>
      </c>
      <c r="D6" s="7" t="s">
        <v>64</v>
      </c>
      <c r="E6" s="7">
        <v>71111</v>
      </c>
      <c r="F6" s="7" t="s">
        <v>33</v>
      </c>
      <c r="G6" s="28" t="s">
        <v>39</v>
      </c>
      <c r="H6" s="7" t="s">
        <v>35</v>
      </c>
      <c r="I6" s="12">
        <v>44475</v>
      </c>
      <c r="J6" s="7">
        <v>2</v>
      </c>
      <c r="K6" s="7" t="str">
        <f>CONCATENATE(D6,"_F",G6,"_BIM_",B6)</f>
        <v>TN_C0A_F2A_BIM_I</v>
      </c>
      <c r="L6" s="8">
        <v>7.45</v>
      </c>
      <c r="M6" s="8">
        <v>8.3099999999999987</v>
      </c>
      <c r="N6" s="8">
        <v>7.660000000000001</v>
      </c>
      <c r="O6" s="8">
        <v>7.85</v>
      </c>
      <c r="P6" s="8">
        <v>7.24</v>
      </c>
      <c r="Q6" s="8">
        <v>6.7799999999999994</v>
      </c>
      <c r="R6" s="8">
        <v>7.13</v>
      </c>
      <c r="S6" s="8">
        <v>6.8899999999999988</v>
      </c>
      <c r="T6" s="8">
        <v>70.200999999999993</v>
      </c>
    </row>
    <row r="7" spans="1:20" x14ac:dyDescent="0.3">
      <c r="A7" s="7" t="s">
        <v>31</v>
      </c>
      <c r="B7" s="27" t="s">
        <v>13</v>
      </c>
      <c r="C7" s="6" t="s">
        <v>32</v>
      </c>
      <c r="D7" s="7" t="s">
        <v>77</v>
      </c>
      <c r="E7" s="7">
        <v>49066</v>
      </c>
      <c r="F7" s="7" t="s">
        <v>40</v>
      </c>
      <c r="G7" s="28" t="s">
        <v>41</v>
      </c>
      <c r="H7" s="29" t="s">
        <v>36</v>
      </c>
      <c r="I7" s="12">
        <v>44475</v>
      </c>
      <c r="J7" s="7">
        <v>2</v>
      </c>
      <c r="K7" s="7" t="str">
        <f>CONCATENATE(D7,"_F",G7,"_BIM_",B7)</f>
        <v>TN_C0O_F1B_BIM_I</v>
      </c>
      <c r="L7" s="8">
        <v>6.8400000000000007</v>
      </c>
      <c r="M7" s="8">
        <v>5.18</v>
      </c>
      <c r="N7" s="8">
        <v>6.6199999999999992</v>
      </c>
      <c r="O7" s="8">
        <v>5.58</v>
      </c>
      <c r="P7" s="8">
        <v>7.4</v>
      </c>
      <c r="Q7" s="8">
        <v>6.95</v>
      </c>
      <c r="R7" s="8">
        <v>7.33</v>
      </c>
      <c r="S7" s="8">
        <v>7.49</v>
      </c>
      <c r="T7" s="8">
        <v>63.756999999999991</v>
      </c>
    </row>
    <row r="8" spans="1:20" x14ac:dyDescent="0.3">
      <c r="A8" s="7" t="s">
        <v>31</v>
      </c>
      <c r="B8" s="27" t="s">
        <v>13</v>
      </c>
      <c r="C8" s="6" t="s">
        <v>32</v>
      </c>
      <c r="D8" s="7" t="s">
        <v>78</v>
      </c>
      <c r="E8" s="7">
        <v>51331</v>
      </c>
      <c r="F8" s="7" t="s">
        <v>40</v>
      </c>
      <c r="G8" s="28" t="s">
        <v>34</v>
      </c>
      <c r="H8" s="7" t="s">
        <v>37</v>
      </c>
      <c r="I8" s="12">
        <v>44475</v>
      </c>
      <c r="J8" s="7">
        <v>2</v>
      </c>
      <c r="K8" s="7" t="str">
        <f>CONCATENATE(D8,"_F",G8,"_BIM_",B8)</f>
        <v>TN_C0P_F1A_BIM_I</v>
      </c>
      <c r="L8" s="8">
        <v>6.69</v>
      </c>
      <c r="M8" s="8">
        <v>6.1400000000000006</v>
      </c>
      <c r="N8" s="8">
        <v>6.5699999999999985</v>
      </c>
      <c r="O8" s="8">
        <v>7.9599999999999991</v>
      </c>
      <c r="P8" s="8">
        <v>7.8400000000000007</v>
      </c>
      <c r="Q8" s="8">
        <v>7.42</v>
      </c>
      <c r="R8" s="8">
        <v>7.3400000000000007</v>
      </c>
      <c r="S8" s="8">
        <v>7.2700000000000005</v>
      </c>
      <c r="T8" s="8">
        <v>68.493000000000009</v>
      </c>
    </row>
    <row r="9" spans="1:20" x14ac:dyDescent="0.3">
      <c r="A9" s="7" t="s">
        <v>31</v>
      </c>
      <c r="B9" s="27" t="s">
        <v>13</v>
      </c>
      <c r="C9" s="6" t="s">
        <v>32</v>
      </c>
      <c r="D9" s="7" t="s">
        <v>79</v>
      </c>
      <c r="E9" s="7">
        <v>53613</v>
      </c>
      <c r="F9" s="7" t="s">
        <v>40</v>
      </c>
      <c r="G9" s="28" t="s">
        <v>34</v>
      </c>
      <c r="H9" s="7" t="s">
        <v>38</v>
      </c>
      <c r="I9" s="12">
        <v>44475</v>
      </c>
      <c r="J9" s="7">
        <v>2</v>
      </c>
      <c r="K9" s="7" t="str">
        <f>CONCATENATE(D9,"_F",G9,"_BIM_",B9)</f>
        <v>TN_C0Q_F1A_BIM_I</v>
      </c>
      <c r="L9" s="8">
        <v>6.56</v>
      </c>
      <c r="M9" s="8">
        <v>6.29</v>
      </c>
      <c r="N9" s="8">
        <v>7.01</v>
      </c>
      <c r="O9" s="8">
        <v>5.43</v>
      </c>
      <c r="P9" s="8">
        <v>6.8599999999999994</v>
      </c>
      <c r="Q9" s="8">
        <v>6.55</v>
      </c>
      <c r="R9" s="8">
        <v>6.9770000000000003</v>
      </c>
      <c r="S9" s="8">
        <v>7.2300000000000013</v>
      </c>
      <c r="T9" s="8">
        <v>62.7059</v>
      </c>
    </row>
    <row r="10" spans="1:20" x14ac:dyDescent="0.3">
      <c r="A10" s="7" t="s">
        <v>31</v>
      </c>
      <c r="B10" s="30" t="s">
        <v>13</v>
      </c>
      <c r="C10" s="7" t="s">
        <v>32</v>
      </c>
      <c r="D10" s="6" t="s">
        <v>69</v>
      </c>
      <c r="E10" s="7">
        <v>77475</v>
      </c>
      <c r="F10" s="7" t="s">
        <v>33</v>
      </c>
      <c r="G10" s="7" t="s">
        <v>41</v>
      </c>
      <c r="H10" s="7" t="s">
        <v>35</v>
      </c>
      <c r="I10" s="5">
        <v>44482</v>
      </c>
      <c r="J10" s="7">
        <v>3</v>
      </c>
      <c r="K10" s="7" t="str">
        <f>CONCATENATE(D10,"_F",G10,"_BIM_",B10)</f>
        <v>TN_C0E_F1B_BIM_I</v>
      </c>
      <c r="L10" s="8">
        <v>6.4555555555555557</v>
      </c>
      <c r="M10" s="8">
        <v>7.1444444444444439</v>
      </c>
      <c r="N10" s="8">
        <v>6.2111111111111121</v>
      </c>
      <c r="O10" s="8">
        <v>5.9444444444444446</v>
      </c>
      <c r="P10" s="8">
        <v>6.7777777777777786</v>
      </c>
      <c r="Q10" s="8">
        <v>5.9555555555555548</v>
      </c>
      <c r="R10" s="8">
        <v>6.4444444444444446</v>
      </c>
      <c r="S10" s="8">
        <v>5.9333333333333336</v>
      </c>
      <c r="T10" s="8">
        <v>60.81666666666667</v>
      </c>
    </row>
    <row r="11" spans="1:20" x14ac:dyDescent="0.3">
      <c r="A11" s="7" t="s">
        <v>31</v>
      </c>
      <c r="B11" s="30" t="s">
        <v>13</v>
      </c>
      <c r="C11" s="7" t="s">
        <v>32</v>
      </c>
      <c r="D11" s="6" t="s">
        <v>72</v>
      </c>
      <c r="E11" s="7">
        <v>79615</v>
      </c>
      <c r="F11" s="7" t="s">
        <v>33</v>
      </c>
      <c r="G11" s="7" t="s">
        <v>34</v>
      </c>
      <c r="H11" s="7" t="s">
        <v>36</v>
      </c>
      <c r="I11" s="5">
        <v>44482</v>
      </c>
      <c r="J11" s="7">
        <v>3</v>
      </c>
      <c r="K11" s="7" t="str">
        <f>CONCATENATE(D11,"_F",G11,"_BIM_",B11)</f>
        <v>TN_C0G_F1A_BIM_I</v>
      </c>
      <c r="L11" s="9">
        <v>7.5888888888888886</v>
      </c>
      <c r="M11" s="9">
        <v>8.1777777777777771</v>
      </c>
      <c r="N11" s="9">
        <v>7.2999999999999989</v>
      </c>
      <c r="O11" s="9">
        <v>6.0444444444444443</v>
      </c>
      <c r="P11" s="8">
        <v>7.1555555555555559</v>
      </c>
      <c r="Q11" s="8">
        <v>7.1555555555555559</v>
      </c>
      <c r="R11" s="8">
        <v>7.511111111111112</v>
      </c>
      <c r="S11" s="8">
        <v>7.3666666666666663</v>
      </c>
      <c r="T11" s="9">
        <v>69.114444444444445</v>
      </c>
    </row>
    <row r="12" spans="1:20" x14ac:dyDescent="0.3">
      <c r="A12" s="7" t="s">
        <v>31</v>
      </c>
      <c r="B12" s="27" t="s">
        <v>13</v>
      </c>
      <c r="C12" s="6" t="s">
        <v>32</v>
      </c>
      <c r="D12" s="6" t="s">
        <v>74</v>
      </c>
      <c r="E12" s="7">
        <v>43682</v>
      </c>
      <c r="F12" s="7" t="s">
        <v>40</v>
      </c>
      <c r="G12" s="7" t="s">
        <v>34</v>
      </c>
      <c r="H12" s="7" t="s">
        <v>37</v>
      </c>
      <c r="I12" s="5">
        <v>44482</v>
      </c>
      <c r="J12" s="7">
        <v>3</v>
      </c>
      <c r="K12" s="7" t="str">
        <f>CONCATENATE(D12,"_F",G12,"_BIM_",B12)</f>
        <v>TN_C0I_F1A_BIM_I</v>
      </c>
      <c r="L12" s="8">
        <v>6.0444444444444443</v>
      </c>
      <c r="M12" s="8">
        <v>5.0777777777777775</v>
      </c>
      <c r="N12" s="8">
        <v>7.7555555555555564</v>
      </c>
      <c r="O12" s="8">
        <v>7.0555555555555554</v>
      </c>
      <c r="P12" s="8">
        <v>6.9555555555555566</v>
      </c>
      <c r="Q12" s="8">
        <v>6.81111111111111</v>
      </c>
      <c r="R12" s="8">
        <v>6.8</v>
      </c>
      <c r="S12" s="8">
        <v>6.6999999999999993</v>
      </c>
      <c r="T12" s="8">
        <v>63.904444444444451</v>
      </c>
    </row>
    <row r="13" spans="1:20" x14ac:dyDescent="0.3">
      <c r="A13" s="7" t="s">
        <v>31</v>
      </c>
      <c r="B13" s="27" t="s">
        <v>13</v>
      </c>
      <c r="C13" s="6" t="s">
        <v>32</v>
      </c>
      <c r="D13" s="6" t="s">
        <v>75</v>
      </c>
      <c r="E13" s="7">
        <v>82569</v>
      </c>
      <c r="F13" s="7" t="s">
        <v>33</v>
      </c>
      <c r="G13" s="7" t="s">
        <v>34</v>
      </c>
      <c r="H13" s="7" t="s">
        <v>38</v>
      </c>
      <c r="I13" s="5">
        <v>44482</v>
      </c>
      <c r="J13" s="7">
        <v>3</v>
      </c>
      <c r="K13" s="7" t="str">
        <f>CONCATENATE(D13,"_F",G13,"_BIM_",B13)</f>
        <v>TN_C0L_F1A_BIM_I</v>
      </c>
      <c r="L13" s="9">
        <v>6.4111111111111105</v>
      </c>
      <c r="M13" s="9">
        <v>5.9444444444444446</v>
      </c>
      <c r="N13" s="9">
        <v>7.1777777777777771</v>
      </c>
      <c r="O13" s="9">
        <v>6.0222222222222221</v>
      </c>
      <c r="P13" s="8">
        <v>6.9333333333333336</v>
      </c>
      <c r="Q13" s="8">
        <v>6.7444444444444436</v>
      </c>
      <c r="R13" s="8">
        <v>6.344444444444445</v>
      </c>
      <c r="S13" s="8">
        <v>7.1444444444444457</v>
      </c>
      <c r="T13" s="9">
        <v>62.421111111111109</v>
      </c>
    </row>
    <row r="14" spans="1:20" x14ac:dyDescent="0.3">
      <c r="A14" s="7" t="s">
        <v>31</v>
      </c>
      <c r="B14" s="27" t="s">
        <v>13</v>
      </c>
      <c r="C14" s="6" t="s">
        <v>32</v>
      </c>
      <c r="D14" s="6" t="s">
        <v>76</v>
      </c>
      <c r="E14" s="7">
        <v>85423</v>
      </c>
      <c r="F14" s="7" t="s">
        <v>33</v>
      </c>
      <c r="G14" s="7" t="s">
        <v>39</v>
      </c>
      <c r="H14" s="7" t="s">
        <v>42</v>
      </c>
      <c r="I14" s="5">
        <v>44482</v>
      </c>
      <c r="J14" s="7">
        <v>3</v>
      </c>
      <c r="K14" s="7" t="str">
        <f>CONCATENATE(D14,"_F",G14,"_BIM_",B14)</f>
        <v>TN_C0M_F2A_BIM_I</v>
      </c>
      <c r="L14" s="8">
        <v>6.844444444444445</v>
      </c>
      <c r="M14" s="8">
        <v>4.8777777777777773</v>
      </c>
      <c r="N14" s="8">
        <v>7.0666666666666664</v>
      </c>
      <c r="O14" s="8">
        <v>6.655555555555555</v>
      </c>
      <c r="P14" s="8">
        <v>7.3666666666666663</v>
      </c>
      <c r="Q14" s="8">
        <v>7.511111111111112</v>
      </c>
      <c r="R14" s="8">
        <v>7.2000000000000011</v>
      </c>
      <c r="S14" s="8">
        <v>6.2555555555555555</v>
      </c>
      <c r="T14" s="8">
        <v>65.847777777777779</v>
      </c>
    </row>
    <row r="15" spans="1:20" x14ac:dyDescent="0.3">
      <c r="A15" s="7" t="s">
        <v>31</v>
      </c>
      <c r="B15" s="27" t="s">
        <v>13</v>
      </c>
      <c r="C15" s="6" t="s">
        <v>32</v>
      </c>
      <c r="D15" s="6" t="s">
        <v>64</v>
      </c>
      <c r="E15" s="7">
        <v>70677</v>
      </c>
      <c r="F15" s="7" t="s">
        <v>33</v>
      </c>
      <c r="G15" s="7" t="s">
        <v>43</v>
      </c>
      <c r="H15" s="7" t="s">
        <v>35</v>
      </c>
      <c r="I15" s="5">
        <v>44489</v>
      </c>
      <c r="J15" s="7">
        <v>4</v>
      </c>
      <c r="K15" s="7" t="str">
        <f>CONCATENATE(D15,"_F",G15,"_BIM_",B15)</f>
        <v>TN_C0A_F3A_BIM_I</v>
      </c>
      <c r="L15" s="8">
        <v>7.3879999999999999</v>
      </c>
      <c r="M15" s="8">
        <v>5.5250000000000004</v>
      </c>
      <c r="N15" s="8">
        <v>7.25</v>
      </c>
      <c r="O15" s="8">
        <v>7.1379999999999999</v>
      </c>
      <c r="P15" s="8">
        <v>7.0129999999999999</v>
      </c>
      <c r="Q15" s="8">
        <v>6.4249999999999998</v>
      </c>
      <c r="R15" s="8">
        <v>6.55</v>
      </c>
      <c r="S15" s="8">
        <v>5.8120000000000003</v>
      </c>
      <c r="T15" s="8">
        <v>64.098100000000002</v>
      </c>
    </row>
    <row r="16" spans="1:20" x14ac:dyDescent="0.3">
      <c r="A16" s="7" t="s">
        <v>31</v>
      </c>
      <c r="B16" s="27" t="s">
        <v>13</v>
      </c>
      <c r="C16" s="6" t="s">
        <v>32</v>
      </c>
      <c r="D16" s="6" t="s">
        <v>67</v>
      </c>
      <c r="E16" s="7">
        <v>74374</v>
      </c>
      <c r="F16" s="7" t="s">
        <v>33</v>
      </c>
      <c r="G16" s="7" t="s">
        <v>39</v>
      </c>
      <c r="H16" s="7" t="s">
        <v>36</v>
      </c>
      <c r="I16" s="5">
        <v>44489</v>
      </c>
      <c r="J16" s="7">
        <v>4</v>
      </c>
      <c r="K16" s="7" t="str">
        <f>CONCATENATE(D16,"_F",G16,"_BIM_",B16)</f>
        <v>TN_C0C_F2A_BIM_I</v>
      </c>
      <c r="L16" s="8">
        <v>6.9379999999999997</v>
      </c>
      <c r="M16" s="8">
        <v>5.9749999999999996</v>
      </c>
      <c r="N16" s="8">
        <v>6.9</v>
      </c>
      <c r="O16" s="8">
        <v>6.65</v>
      </c>
      <c r="P16" s="8">
        <v>7.2629999999999999</v>
      </c>
      <c r="Q16" s="8">
        <v>6.35</v>
      </c>
      <c r="R16" s="8">
        <v>6.6</v>
      </c>
      <c r="S16" s="8">
        <v>7.15</v>
      </c>
      <c r="T16" s="8">
        <v>63.530099999999997</v>
      </c>
    </row>
    <row r="17" spans="1:21" x14ac:dyDescent="0.3">
      <c r="A17" s="7" t="s">
        <v>31</v>
      </c>
      <c r="B17" s="27" t="s">
        <v>13</v>
      </c>
      <c r="C17" s="6" t="s">
        <v>32</v>
      </c>
      <c r="D17" s="6" t="s">
        <v>72</v>
      </c>
      <c r="E17" s="7">
        <v>79462</v>
      </c>
      <c r="F17" s="7" t="s">
        <v>33</v>
      </c>
      <c r="G17" s="7" t="s">
        <v>39</v>
      </c>
      <c r="H17" s="7" t="s">
        <v>37</v>
      </c>
      <c r="I17" s="5">
        <v>44489</v>
      </c>
      <c r="J17" s="7">
        <v>4</v>
      </c>
      <c r="K17" s="7" t="str">
        <f>CONCATENATE(D17,"_F",G17,"_BIM_",B17)</f>
        <v>TN_C0G_F2A_BIM_I</v>
      </c>
      <c r="L17" s="8">
        <v>7.9119999999999999</v>
      </c>
      <c r="M17" s="8">
        <v>8.2379999999999995</v>
      </c>
      <c r="N17" s="8">
        <v>7.9119999999999999</v>
      </c>
      <c r="O17" s="8">
        <v>6.125</v>
      </c>
      <c r="P17" s="8">
        <v>7.35</v>
      </c>
      <c r="Q17" s="8">
        <v>7.1120000000000001</v>
      </c>
      <c r="R17" s="8">
        <v>7.375</v>
      </c>
      <c r="S17" s="8">
        <v>7.7249999999999996</v>
      </c>
      <c r="T17" s="8">
        <v>70.3947</v>
      </c>
    </row>
    <row r="18" spans="1:21" x14ac:dyDescent="0.3">
      <c r="A18" s="7" t="s">
        <v>31</v>
      </c>
      <c r="B18" s="27" t="s">
        <v>13</v>
      </c>
      <c r="C18" s="6" t="s">
        <v>32</v>
      </c>
      <c r="D18" s="6" t="s">
        <v>76</v>
      </c>
      <c r="E18" s="7">
        <v>86616</v>
      </c>
      <c r="F18" s="7" t="s">
        <v>33</v>
      </c>
      <c r="G18" s="7" t="s">
        <v>39</v>
      </c>
      <c r="H18" s="7" t="s">
        <v>38</v>
      </c>
      <c r="I18" s="5">
        <v>44489</v>
      </c>
      <c r="J18" s="7">
        <v>4</v>
      </c>
      <c r="K18" s="7" t="str">
        <f>CONCATENATE(D18,"_F",G18,"_BIM_",B18)</f>
        <v>TN_C0M_F2A_BIM_I</v>
      </c>
      <c r="L18" s="8">
        <v>6.7</v>
      </c>
      <c r="M18" s="8">
        <v>7.7750000000000004</v>
      </c>
      <c r="N18" s="8">
        <v>7.5129999999999999</v>
      </c>
      <c r="O18" s="8">
        <v>8.1370000000000005</v>
      </c>
      <c r="P18" s="8">
        <v>7.7629999999999999</v>
      </c>
      <c r="Q18" s="8">
        <v>7.375</v>
      </c>
      <c r="R18" s="8">
        <v>7.35</v>
      </c>
      <c r="S18" s="8">
        <v>7.7869999999999999</v>
      </c>
      <c r="T18" s="8">
        <v>71.346000000000004</v>
      </c>
    </row>
    <row r="19" spans="1:21" x14ac:dyDescent="0.3">
      <c r="A19" s="7" t="s">
        <v>31</v>
      </c>
      <c r="B19" s="30" t="s">
        <v>13</v>
      </c>
      <c r="C19" s="7" t="s">
        <v>32</v>
      </c>
      <c r="D19" s="6" t="s">
        <v>78</v>
      </c>
      <c r="E19" s="7">
        <v>51048</v>
      </c>
      <c r="F19" s="7" t="s">
        <v>40</v>
      </c>
      <c r="G19" s="7" t="s">
        <v>39</v>
      </c>
      <c r="H19" s="7" t="s">
        <v>42</v>
      </c>
      <c r="I19" s="5">
        <v>44489</v>
      </c>
      <c r="J19" s="7">
        <v>4</v>
      </c>
      <c r="K19" s="7" t="str">
        <f>CONCATENATE(D19,"_F",G19,"_BIM_",B19)</f>
        <v>TN_C0P_F2A_BIM_I</v>
      </c>
      <c r="L19" s="8">
        <v>6.7</v>
      </c>
      <c r="M19" s="8">
        <v>6.2</v>
      </c>
      <c r="N19" s="8">
        <v>7.05</v>
      </c>
      <c r="O19" s="8">
        <v>8.4</v>
      </c>
      <c r="P19" s="8">
        <v>7.1879999999999997</v>
      </c>
      <c r="Q19" s="8">
        <v>7.4630000000000001</v>
      </c>
      <c r="R19" s="8">
        <v>7.3120000000000003</v>
      </c>
      <c r="S19" s="8">
        <v>7.0129999999999999</v>
      </c>
      <c r="T19" s="8">
        <v>68.548400000000001</v>
      </c>
    </row>
    <row r="20" spans="1:21" x14ac:dyDescent="0.3">
      <c r="A20" s="7" t="s">
        <v>31</v>
      </c>
      <c r="B20" s="30" t="s">
        <v>13</v>
      </c>
      <c r="C20" s="7" t="s">
        <v>32</v>
      </c>
      <c r="D20" s="6" t="s">
        <v>80</v>
      </c>
      <c r="E20" s="7">
        <v>54976</v>
      </c>
      <c r="F20" s="7" t="s">
        <v>40</v>
      </c>
      <c r="G20" s="7" t="s">
        <v>34</v>
      </c>
      <c r="H20" s="7" t="s">
        <v>44</v>
      </c>
      <c r="I20" s="5">
        <v>44489</v>
      </c>
      <c r="J20" s="7">
        <v>4</v>
      </c>
      <c r="K20" s="7" t="str">
        <f>CONCATENATE(D20,"_F",G20,"_BIM_",B20)</f>
        <v>TN_C0R_F1A_BIM_I</v>
      </c>
      <c r="L20" s="8">
        <v>6.1120000000000001</v>
      </c>
      <c r="M20" s="8">
        <v>5.2750000000000004</v>
      </c>
      <c r="N20" s="8">
        <v>6.9870000000000001</v>
      </c>
      <c r="O20" s="8">
        <v>6.3250000000000002</v>
      </c>
      <c r="P20" s="8">
        <v>7.4</v>
      </c>
      <c r="Q20" s="8">
        <v>7.1</v>
      </c>
      <c r="R20" s="8">
        <v>7.1</v>
      </c>
      <c r="S20" s="8">
        <v>6.2130000000000001</v>
      </c>
      <c r="T20" s="8">
        <v>64.225099999999998</v>
      </c>
    </row>
    <row r="21" spans="1:21" x14ac:dyDescent="0.3">
      <c r="A21" s="7" t="s">
        <v>31</v>
      </c>
      <c r="B21" s="27" t="s">
        <v>13</v>
      </c>
      <c r="C21" s="6" t="s">
        <v>32</v>
      </c>
      <c r="D21" s="6" t="s">
        <v>66</v>
      </c>
      <c r="E21" s="7">
        <v>63263</v>
      </c>
      <c r="F21" s="7" t="s">
        <v>45</v>
      </c>
      <c r="G21" s="7" t="s">
        <v>34</v>
      </c>
      <c r="H21" s="7" t="s">
        <v>35</v>
      </c>
      <c r="I21" s="5">
        <v>44496</v>
      </c>
      <c r="J21" s="7">
        <v>5</v>
      </c>
      <c r="K21" s="7" t="str">
        <f>CONCATENATE(D21,"_F",G21,"_BIM_",B21)</f>
        <v>TN_C0B_F1A_BIM_I</v>
      </c>
      <c r="L21" s="8">
        <v>7.7</v>
      </c>
      <c r="M21" s="8">
        <v>8.657</v>
      </c>
      <c r="N21" s="8">
        <v>7.8860000000000001</v>
      </c>
      <c r="O21" s="8">
        <v>7.5289999999999999</v>
      </c>
      <c r="P21" s="8">
        <v>6.8860000000000001</v>
      </c>
      <c r="Q21" s="8">
        <v>6.8570000000000002</v>
      </c>
      <c r="R21" s="8">
        <v>7.0289999999999999</v>
      </c>
      <c r="S21" s="8">
        <v>7.8</v>
      </c>
      <c r="T21" s="8">
        <v>70.135899999999992</v>
      </c>
    </row>
    <row r="22" spans="1:21" x14ac:dyDescent="0.3">
      <c r="A22" s="7" t="s">
        <v>31</v>
      </c>
      <c r="B22" s="27" t="s">
        <v>13</v>
      </c>
      <c r="C22" s="6" t="s">
        <v>32</v>
      </c>
      <c r="D22" s="6" t="s">
        <v>68</v>
      </c>
      <c r="E22" s="7">
        <v>68281</v>
      </c>
      <c r="F22" s="7" t="s">
        <v>45</v>
      </c>
      <c r="G22" s="7" t="s">
        <v>34</v>
      </c>
      <c r="H22" s="7" t="s">
        <v>36</v>
      </c>
      <c r="I22" s="5">
        <v>44496</v>
      </c>
      <c r="J22" s="7">
        <v>5</v>
      </c>
      <c r="K22" s="7" t="str">
        <f>CONCATENATE(D22,"_F",G22,"_BIM_",B22)</f>
        <v>TN_C0D_F1A_BIM_I</v>
      </c>
      <c r="L22" s="8">
        <v>6.1289999999999996</v>
      </c>
      <c r="M22" s="8">
        <v>7.9859999999999998</v>
      </c>
      <c r="N22" s="8">
        <v>7.5860000000000003</v>
      </c>
      <c r="O22" s="8">
        <v>7.8</v>
      </c>
      <c r="P22" s="8">
        <v>7.7859999999999996</v>
      </c>
      <c r="Q22" s="8">
        <v>7.6859999999999999</v>
      </c>
      <c r="R22" s="8">
        <v>7.7569999999999997</v>
      </c>
      <c r="S22" s="8">
        <v>7.4</v>
      </c>
      <c r="T22" s="8">
        <v>72.034700000000001</v>
      </c>
    </row>
    <row r="23" spans="1:21" x14ac:dyDescent="0.3">
      <c r="A23" s="7" t="s">
        <v>31</v>
      </c>
      <c r="B23" s="27" t="s">
        <v>13</v>
      </c>
      <c r="C23" s="6" t="s">
        <v>32</v>
      </c>
      <c r="D23" s="6" t="s">
        <v>69</v>
      </c>
      <c r="E23" s="7">
        <v>77882</v>
      </c>
      <c r="F23" s="7" t="s">
        <v>33</v>
      </c>
      <c r="G23" s="7" t="s">
        <v>39</v>
      </c>
      <c r="H23" s="7" t="s">
        <v>37</v>
      </c>
      <c r="I23" s="5">
        <v>44496</v>
      </c>
      <c r="J23" s="7">
        <v>5</v>
      </c>
      <c r="K23" s="7" t="str">
        <f>CONCATENATE(D23,"_F",G23,"_BIM_",B23)</f>
        <v>TN_C0E_F2A_BIM_I</v>
      </c>
      <c r="L23" s="9">
        <v>7.4290000000000003</v>
      </c>
      <c r="M23" s="9">
        <v>8.1</v>
      </c>
      <c r="N23" s="9">
        <v>6.6</v>
      </c>
      <c r="O23" s="9">
        <v>6.343</v>
      </c>
      <c r="P23" s="8">
        <v>7</v>
      </c>
      <c r="Q23" s="8">
        <v>6.6429999999999998</v>
      </c>
      <c r="R23" s="8">
        <v>6.6710000000000003</v>
      </c>
      <c r="S23" s="8">
        <v>7.0709999999999997</v>
      </c>
      <c r="T23" s="9">
        <v>65.650100000000009</v>
      </c>
    </row>
    <row r="24" spans="1:21" x14ac:dyDescent="0.3">
      <c r="A24" s="7" t="s">
        <v>31</v>
      </c>
      <c r="B24" s="27" t="s">
        <v>13</v>
      </c>
      <c r="C24" s="6" t="s">
        <v>32</v>
      </c>
      <c r="D24" s="6" t="s">
        <v>71</v>
      </c>
      <c r="E24" s="7">
        <v>39739</v>
      </c>
      <c r="F24" s="7" t="s">
        <v>40</v>
      </c>
      <c r="G24" s="7" t="s">
        <v>34</v>
      </c>
      <c r="H24" s="7" t="s">
        <v>38</v>
      </c>
      <c r="I24" s="5">
        <v>44496</v>
      </c>
      <c r="J24" s="7">
        <v>5</v>
      </c>
      <c r="K24" s="7" t="str">
        <f>CONCATENATE(D24,"_F",G24,"_BIM_",B24)</f>
        <v>TN_C0F_F1A_BIM_I</v>
      </c>
      <c r="L24" s="8">
        <v>7.3570000000000002</v>
      </c>
      <c r="M24" s="8">
        <v>7.5289999999999999</v>
      </c>
      <c r="N24" s="8">
        <v>7.3140000000000001</v>
      </c>
      <c r="O24" s="8">
        <v>5.7709999999999999</v>
      </c>
      <c r="P24" s="8">
        <v>7.4859999999999998</v>
      </c>
      <c r="Q24" s="8">
        <v>6.9859999999999998</v>
      </c>
      <c r="R24" s="8">
        <v>7.3140000000000001</v>
      </c>
      <c r="S24" s="8">
        <v>7.4429999999999996</v>
      </c>
      <c r="T24" s="8">
        <v>67.900000000000006</v>
      </c>
    </row>
    <row r="25" spans="1:21" x14ac:dyDescent="0.3">
      <c r="A25" s="7" t="s">
        <v>31</v>
      </c>
      <c r="B25" s="27" t="s">
        <v>13</v>
      </c>
      <c r="C25" s="6" t="s">
        <v>32</v>
      </c>
      <c r="D25" s="6" t="s">
        <v>73</v>
      </c>
      <c r="E25" s="7">
        <v>81191</v>
      </c>
      <c r="F25" s="7" t="s">
        <v>33</v>
      </c>
      <c r="G25" s="7" t="s">
        <v>41</v>
      </c>
      <c r="H25" s="7" t="s">
        <v>42</v>
      </c>
      <c r="I25" s="5">
        <v>44496</v>
      </c>
      <c r="J25" s="7">
        <v>5</v>
      </c>
      <c r="K25" s="7" t="str">
        <f>CONCATENATE(D25,"_F",G25,"_BIM_",B25)</f>
        <v>TN_C0H_F1B_BIM_I</v>
      </c>
      <c r="L25" s="8">
        <v>7.5860000000000003</v>
      </c>
      <c r="M25" s="8">
        <v>6.1710000000000003</v>
      </c>
      <c r="N25" s="8">
        <v>6.3</v>
      </c>
      <c r="O25" s="8">
        <v>6.1139999999999999</v>
      </c>
      <c r="P25" s="8">
        <v>7.5430000000000001</v>
      </c>
      <c r="Q25" s="8">
        <v>6.7709999999999999</v>
      </c>
      <c r="R25" s="8">
        <v>7</v>
      </c>
      <c r="S25" s="8">
        <v>6.6289999999999996</v>
      </c>
      <c r="T25" s="8">
        <v>64.971900000000005</v>
      </c>
    </row>
    <row r="26" spans="1:21" x14ac:dyDescent="0.3">
      <c r="A26" s="7" t="s">
        <v>31</v>
      </c>
      <c r="B26" s="27" t="s">
        <v>13</v>
      </c>
      <c r="C26" s="6" t="s">
        <v>32</v>
      </c>
      <c r="D26" s="6" t="s">
        <v>79</v>
      </c>
      <c r="E26" s="7">
        <v>53433</v>
      </c>
      <c r="F26" s="7" t="s">
        <v>40</v>
      </c>
      <c r="G26" s="7" t="s">
        <v>39</v>
      </c>
      <c r="H26" s="7" t="s">
        <v>44</v>
      </c>
      <c r="I26" s="5">
        <v>44496</v>
      </c>
      <c r="J26" s="7">
        <v>5</v>
      </c>
      <c r="K26" s="7" t="str">
        <f>CONCATENATE(D26,"_F",G26,"_BIM_",B26)</f>
        <v>TN_C0Q_F2A_BIM_I</v>
      </c>
      <c r="L26" s="8">
        <v>6.6</v>
      </c>
      <c r="M26" s="8">
        <v>5.5</v>
      </c>
      <c r="N26" s="8">
        <v>7.1429999999999998</v>
      </c>
      <c r="O26" s="8">
        <v>6.1289999999999996</v>
      </c>
      <c r="P26" s="8">
        <v>6.4290000000000003</v>
      </c>
      <c r="Q26" s="8">
        <v>6.7859999999999996</v>
      </c>
      <c r="R26" s="8">
        <v>6.1859999999999999</v>
      </c>
      <c r="S26" s="8">
        <v>7.7</v>
      </c>
      <c r="T26" s="8">
        <v>61.17519999999999</v>
      </c>
    </row>
    <row r="27" spans="1:21" x14ac:dyDescent="0.3">
      <c r="A27" s="7" t="s">
        <v>31</v>
      </c>
      <c r="B27" s="27" t="s">
        <v>14</v>
      </c>
      <c r="C27" s="6" t="s">
        <v>46</v>
      </c>
      <c r="D27" s="6" t="s">
        <v>64</v>
      </c>
      <c r="E27" s="7">
        <v>67576</v>
      </c>
      <c r="F27" s="7" t="s">
        <v>47</v>
      </c>
      <c r="G27" s="7" t="s">
        <v>34</v>
      </c>
      <c r="H27" s="7" t="s">
        <v>35</v>
      </c>
      <c r="I27" s="5">
        <v>44510</v>
      </c>
      <c r="J27" s="7">
        <v>6</v>
      </c>
      <c r="K27" s="7" t="str">
        <f>CONCATENATE(D27,"_F",G27,"_BIM_",B27)</f>
        <v>TN_C0A_F1A_BIM_II</v>
      </c>
      <c r="L27" s="8">
        <v>7.25</v>
      </c>
      <c r="M27" s="8">
        <v>7.3</v>
      </c>
      <c r="N27" s="8">
        <v>7.7</v>
      </c>
      <c r="O27" s="8">
        <v>7.28</v>
      </c>
      <c r="P27" s="8">
        <v>7.13</v>
      </c>
      <c r="Q27" s="8">
        <v>7.23</v>
      </c>
      <c r="R27" s="8">
        <v>7.32</v>
      </c>
      <c r="S27" s="8">
        <v>6.78</v>
      </c>
      <c r="T27" s="8">
        <v>69.353999999999999</v>
      </c>
      <c r="U27" s="31" t="s">
        <v>48</v>
      </c>
    </row>
    <row r="28" spans="1:21" x14ac:dyDescent="0.3">
      <c r="A28" s="7" t="s">
        <v>31</v>
      </c>
      <c r="B28" s="27" t="s">
        <v>14</v>
      </c>
      <c r="C28" s="6" t="s">
        <v>46</v>
      </c>
      <c r="D28" s="6" t="s">
        <v>69</v>
      </c>
      <c r="E28" s="7">
        <v>84981</v>
      </c>
      <c r="F28" s="7" t="s">
        <v>47</v>
      </c>
      <c r="G28" s="7" t="s">
        <v>34</v>
      </c>
      <c r="H28" s="7" t="s">
        <v>36</v>
      </c>
      <c r="I28" s="5">
        <v>44510</v>
      </c>
      <c r="J28" s="7">
        <v>6</v>
      </c>
      <c r="K28" s="7" t="str">
        <f>CONCATENATE(D28,"_F",G28,"_BIM_",B28)</f>
        <v>TN_C0E_F1A_BIM_II</v>
      </c>
      <c r="L28" s="8">
        <v>6.98</v>
      </c>
      <c r="M28" s="8">
        <v>5.9</v>
      </c>
      <c r="N28" s="8">
        <v>6.93</v>
      </c>
      <c r="O28" s="8">
        <v>7.02</v>
      </c>
      <c r="P28" s="8">
        <v>6.92</v>
      </c>
      <c r="Q28" s="8">
        <v>6.62</v>
      </c>
      <c r="R28" s="8">
        <v>6.92</v>
      </c>
      <c r="S28" s="8">
        <v>6</v>
      </c>
      <c r="T28" s="8">
        <v>63.863</v>
      </c>
    </row>
    <row r="29" spans="1:21" x14ac:dyDescent="0.3">
      <c r="A29" s="7" t="s">
        <v>31</v>
      </c>
      <c r="B29" s="27" t="s">
        <v>14</v>
      </c>
      <c r="C29" s="6" t="s">
        <v>46</v>
      </c>
      <c r="D29" s="6" t="s">
        <v>72</v>
      </c>
      <c r="E29" s="7">
        <v>92803</v>
      </c>
      <c r="F29" s="7" t="s">
        <v>47</v>
      </c>
      <c r="G29" s="7" t="s">
        <v>34</v>
      </c>
      <c r="H29" s="7" t="s">
        <v>37</v>
      </c>
      <c r="I29" s="5">
        <v>44510</v>
      </c>
      <c r="J29" s="7">
        <v>6</v>
      </c>
      <c r="K29" s="7" t="str">
        <f>CONCATENATE(D29,"_F",G29,"_BIM_",B29)</f>
        <v>TN_C0G_F1A_BIM_II</v>
      </c>
      <c r="L29" s="8">
        <v>7.32</v>
      </c>
      <c r="M29" s="8">
        <v>8.32</v>
      </c>
      <c r="N29" s="8">
        <v>6.8</v>
      </c>
      <c r="O29" s="8">
        <v>7.67</v>
      </c>
      <c r="P29" s="8">
        <v>7.37</v>
      </c>
      <c r="Q29" s="8">
        <v>7.23</v>
      </c>
      <c r="R29" s="8">
        <v>7.2</v>
      </c>
      <c r="S29" s="8">
        <v>7.88</v>
      </c>
      <c r="T29" s="8">
        <v>69.873999999999995</v>
      </c>
    </row>
    <row r="30" spans="1:21" x14ac:dyDescent="0.3">
      <c r="A30" s="7" t="s">
        <v>31</v>
      </c>
      <c r="B30" s="27" t="s">
        <v>14</v>
      </c>
      <c r="C30" s="6" t="s">
        <v>46</v>
      </c>
      <c r="D30" s="6" t="s">
        <v>73</v>
      </c>
      <c r="E30" s="7">
        <v>97027</v>
      </c>
      <c r="F30" s="7" t="s">
        <v>47</v>
      </c>
      <c r="G30" s="7" t="s">
        <v>34</v>
      </c>
      <c r="H30" s="7" t="s">
        <v>38</v>
      </c>
      <c r="I30" s="5">
        <v>44510</v>
      </c>
      <c r="J30" s="7">
        <v>6</v>
      </c>
      <c r="K30" s="7" t="str">
        <f>CONCATENATE(D30,"_F",G30,"_BIM_",B30)</f>
        <v>TN_C0H_F1A_BIM_II</v>
      </c>
      <c r="L30" s="8">
        <v>6.82</v>
      </c>
      <c r="M30" s="8">
        <v>5.68</v>
      </c>
      <c r="N30" s="8">
        <v>7.28</v>
      </c>
      <c r="O30" s="8">
        <v>6.57</v>
      </c>
      <c r="P30" s="8">
        <v>7.57</v>
      </c>
      <c r="Q30" s="8">
        <v>6.42</v>
      </c>
      <c r="R30" s="8">
        <v>6.6</v>
      </c>
      <c r="S30" s="8">
        <v>6.23</v>
      </c>
      <c r="T30" s="8">
        <v>64.207999999999998</v>
      </c>
    </row>
    <row r="31" spans="1:21" x14ac:dyDescent="0.3">
      <c r="A31" s="7" t="s">
        <v>31</v>
      </c>
      <c r="B31" s="27" t="s">
        <v>14</v>
      </c>
      <c r="C31" s="6" t="s">
        <v>46</v>
      </c>
      <c r="D31" s="6" t="s">
        <v>77</v>
      </c>
      <c r="E31" s="7">
        <v>17623</v>
      </c>
      <c r="F31" s="7" t="s">
        <v>49</v>
      </c>
      <c r="G31" s="7" t="s">
        <v>34</v>
      </c>
      <c r="H31" s="7" t="s">
        <v>42</v>
      </c>
      <c r="I31" s="5">
        <v>44510</v>
      </c>
      <c r="J31" s="7">
        <v>6</v>
      </c>
      <c r="K31" s="7" t="str">
        <f>CONCATENATE(D31,"_F",G31,"_BIM_",B31)</f>
        <v>TN_C0O_F1A_BIM_II</v>
      </c>
      <c r="L31" s="8">
        <v>7.6</v>
      </c>
      <c r="M31" s="8">
        <v>5.72</v>
      </c>
      <c r="N31" s="8">
        <v>6.85</v>
      </c>
      <c r="O31" s="8">
        <v>7.7</v>
      </c>
      <c r="P31" s="8">
        <v>7.42</v>
      </c>
      <c r="Q31" s="8">
        <v>7.03</v>
      </c>
      <c r="R31" s="8">
        <v>7</v>
      </c>
      <c r="S31" s="8">
        <v>6.77</v>
      </c>
      <c r="T31" s="8">
        <v>66.394999999999996</v>
      </c>
    </row>
    <row r="32" spans="1:21" x14ac:dyDescent="0.3">
      <c r="A32" s="7" t="s">
        <v>31</v>
      </c>
      <c r="B32" s="27" t="s">
        <v>14</v>
      </c>
      <c r="C32" s="6" t="s">
        <v>46</v>
      </c>
      <c r="D32" s="6" t="s">
        <v>66</v>
      </c>
      <c r="E32" s="7">
        <v>72414</v>
      </c>
      <c r="F32" s="7" t="s">
        <v>47</v>
      </c>
      <c r="G32" s="7" t="s">
        <v>34</v>
      </c>
      <c r="H32" s="7" t="s">
        <v>35</v>
      </c>
      <c r="I32" s="5">
        <v>44517</v>
      </c>
      <c r="J32" s="7">
        <v>7</v>
      </c>
      <c r="K32" s="7" t="str">
        <f>CONCATENATE(D32,"_F",G32,"_BIM_",B32)</f>
        <v>TN_C0B_F1A_BIM_II</v>
      </c>
      <c r="L32" s="8">
        <v>8.18</v>
      </c>
      <c r="M32" s="8">
        <v>6.01</v>
      </c>
      <c r="N32" s="8">
        <v>6.14</v>
      </c>
      <c r="O32" s="8">
        <v>5.74</v>
      </c>
      <c r="P32" s="8">
        <v>6.91</v>
      </c>
      <c r="Q32" s="8">
        <v>7.18</v>
      </c>
      <c r="R32" s="8">
        <v>6.79</v>
      </c>
      <c r="S32" s="8">
        <v>7.46</v>
      </c>
      <c r="T32" s="8">
        <v>64.025999999999996</v>
      </c>
    </row>
    <row r="33" spans="1:20" x14ac:dyDescent="0.3">
      <c r="A33" s="7" t="s">
        <v>31</v>
      </c>
      <c r="B33" s="27" t="s">
        <v>14</v>
      </c>
      <c r="C33" s="6" t="s">
        <v>46</v>
      </c>
      <c r="D33" s="6" t="s">
        <v>71</v>
      </c>
      <c r="E33" s="7">
        <v>88490</v>
      </c>
      <c r="F33" s="7" t="s">
        <v>47</v>
      </c>
      <c r="G33" s="7" t="s">
        <v>34</v>
      </c>
      <c r="H33" s="7" t="s">
        <v>36</v>
      </c>
      <c r="I33" s="5">
        <v>44517</v>
      </c>
      <c r="J33" s="7">
        <v>7</v>
      </c>
      <c r="K33" s="7" t="str">
        <f>CONCATENATE(D33,"_F",G33,"_BIM_",B33)</f>
        <v>TN_C0F_F1A_BIM_II</v>
      </c>
      <c r="L33" s="8">
        <v>6.8</v>
      </c>
      <c r="M33" s="8">
        <v>6.96</v>
      </c>
      <c r="N33" s="8">
        <v>7.69</v>
      </c>
      <c r="O33" s="8">
        <v>6.61</v>
      </c>
      <c r="P33" s="8">
        <v>7.24</v>
      </c>
      <c r="Q33" s="8">
        <v>6.76</v>
      </c>
      <c r="R33" s="8">
        <v>6.83</v>
      </c>
      <c r="S33" s="8">
        <v>7.1</v>
      </c>
      <c r="T33" s="8">
        <v>67.039999999999992</v>
      </c>
    </row>
    <row r="34" spans="1:20" x14ac:dyDescent="0.3">
      <c r="A34" s="7" t="s">
        <v>31</v>
      </c>
      <c r="B34" s="27" t="s">
        <v>14</v>
      </c>
      <c r="C34" s="6" t="s">
        <v>46</v>
      </c>
      <c r="D34" s="6" t="s">
        <v>72</v>
      </c>
      <c r="E34" s="7">
        <v>93139</v>
      </c>
      <c r="F34" s="7" t="s">
        <v>47</v>
      </c>
      <c r="G34" s="7" t="s">
        <v>39</v>
      </c>
      <c r="H34" s="7" t="s">
        <v>37</v>
      </c>
      <c r="I34" s="5">
        <v>44517</v>
      </c>
      <c r="J34" s="7">
        <v>7</v>
      </c>
      <c r="K34" s="7" t="str">
        <f>CONCATENATE(D34,"_F",G34,"_BIM_",B34)</f>
        <v>TN_C0G_F2A_BIM_II</v>
      </c>
      <c r="L34" s="8">
        <v>7.25</v>
      </c>
      <c r="M34" s="8">
        <v>7.75</v>
      </c>
      <c r="N34" s="8">
        <v>7.09</v>
      </c>
      <c r="O34" s="8">
        <v>6.81</v>
      </c>
      <c r="P34" s="8">
        <v>7.69</v>
      </c>
      <c r="Q34" s="8">
        <v>6.98</v>
      </c>
      <c r="R34" s="8">
        <v>7.3</v>
      </c>
      <c r="S34" s="8">
        <v>7.22</v>
      </c>
      <c r="T34" s="8">
        <v>69.197999999999993</v>
      </c>
    </row>
    <row r="35" spans="1:20" x14ac:dyDescent="0.3">
      <c r="A35" s="7" t="s">
        <v>31</v>
      </c>
      <c r="B35" s="27" t="s">
        <v>14</v>
      </c>
      <c r="C35" s="6" t="s">
        <v>46</v>
      </c>
      <c r="D35" s="6" t="s">
        <v>76</v>
      </c>
      <c r="E35" s="7">
        <v>7769</v>
      </c>
      <c r="F35" s="7" t="s">
        <v>49</v>
      </c>
      <c r="G35" s="7" t="s">
        <v>34</v>
      </c>
      <c r="H35" s="7" t="s">
        <v>38</v>
      </c>
      <c r="I35" s="5">
        <v>44517</v>
      </c>
      <c r="J35" s="7">
        <v>7</v>
      </c>
      <c r="K35" s="7" t="str">
        <f>CONCATENATE(D35,"_F",G35,"_BIM_",B35)</f>
        <v>TN_C0M_F1A_BIM_II</v>
      </c>
      <c r="L35" s="8">
        <v>6.78</v>
      </c>
      <c r="M35" s="8">
        <v>6.07</v>
      </c>
      <c r="N35" s="8">
        <v>7.06</v>
      </c>
      <c r="O35" s="8">
        <v>7.26</v>
      </c>
      <c r="P35" s="8">
        <v>7.15</v>
      </c>
      <c r="Q35" s="8">
        <v>6.49</v>
      </c>
      <c r="R35" s="8">
        <v>7.04</v>
      </c>
      <c r="S35" s="8">
        <v>6.85</v>
      </c>
      <c r="T35" s="8">
        <v>65.076999999999998</v>
      </c>
    </row>
    <row r="36" spans="1:20" x14ac:dyDescent="0.3">
      <c r="A36" s="7" t="s">
        <v>31</v>
      </c>
      <c r="B36" s="27" t="s">
        <v>14</v>
      </c>
      <c r="C36" s="6" t="s">
        <v>46</v>
      </c>
      <c r="D36" s="6" t="s">
        <v>77</v>
      </c>
      <c r="E36" s="7">
        <v>17963</v>
      </c>
      <c r="F36" s="7" t="s">
        <v>49</v>
      </c>
      <c r="G36" s="7" t="s">
        <v>39</v>
      </c>
      <c r="H36" s="7" t="s">
        <v>42</v>
      </c>
      <c r="I36" s="5">
        <v>44517</v>
      </c>
      <c r="J36" s="7">
        <v>7</v>
      </c>
      <c r="K36" s="7" t="str">
        <f>CONCATENATE(D36,"_F",G36,"_BIM_",B36)</f>
        <v>TN_C0O_F2A_BIM_II</v>
      </c>
      <c r="L36" s="8">
        <v>6.64</v>
      </c>
      <c r="M36" s="8">
        <v>4.84</v>
      </c>
      <c r="N36" s="8">
        <v>5.89</v>
      </c>
      <c r="O36" s="8">
        <v>7.33</v>
      </c>
      <c r="P36" s="8">
        <v>6.16</v>
      </c>
      <c r="Q36" s="8">
        <v>6.75</v>
      </c>
      <c r="R36" s="8">
        <v>6.19</v>
      </c>
      <c r="S36" s="8">
        <v>6.22</v>
      </c>
      <c r="T36" s="8">
        <v>58.814999999999998</v>
      </c>
    </row>
    <row r="37" spans="1:20" x14ac:dyDescent="0.3">
      <c r="A37" s="7" t="s">
        <v>31</v>
      </c>
      <c r="B37" s="27" t="s">
        <v>14</v>
      </c>
      <c r="C37" s="6" t="s">
        <v>46</v>
      </c>
      <c r="D37" s="6" t="s">
        <v>64</v>
      </c>
      <c r="E37" s="7">
        <v>67800</v>
      </c>
      <c r="F37" s="7" t="s">
        <v>47</v>
      </c>
      <c r="G37" s="7" t="s">
        <v>39</v>
      </c>
      <c r="H37" s="7" t="s">
        <v>35</v>
      </c>
      <c r="I37" s="5">
        <v>44524</v>
      </c>
      <c r="J37" s="6">
        <v>8</v>
      </c>
      <c r="K37" s="7" t="str">
        <f>CONCATENATE(D37,"_F",G37,"_BIM_",B37)</f>
        <v>TN_C0A_F2A_BIM_II</v>
      </c>
      <c r="L37" s="8">
        <v>7.33</v>
      </c>
      <c r="M37" s="8">
        <v>8.2200000000000006</v>
      </c>
      <c r="N37" s="8">
        <v>8.1199999999999992</v>
      </c>
      <c r="O37" s="8">
        <v>6.77</v>
      </c>
      <c r="P37" s="8">
        <v>7.18</v>
      </c>
      <c r="Q37" s="8">
        <v>6.86</v>
      </c>
      <c r="R37" s="8">
        <v>7.03</v>
      </c>
      <c r="S37" s="8">
        <v>7.13</v>
      </c>
      <c r="T37" s="8">
        <v>69.867999999999995</v>
      </c>
    </row>
    <row r="38" spans="1:20" x14ac:dyDescent="0.3">
      <c r="A38" s="7" t="s">
        <v>31</v>
      </c>
      <c r="B38" s="27" t="s">
        <v>14</v>
      </c>
      <c r="C38" s="6" t="s">
        <v>46</v>
      </c>
      <c r="D38" s="6" t="s">
        <v>76</v>
      </c>
      <c r="E38" s="7">
        <v>11903</v>
      </c>
      <c r="F38" s="7" t="s">
        <v>49</v>
      </c>
      <c r="G38" s="7" t="s">
        <v>34</v>
      </c>
      <c r="H38" s="7" t="s">
        <v>37</v>
      </c>
      <c r="I38" s="5">
        <v>44524</v>
      </c>
      <c r="J38" s="6">
        <v>8</v>
      </c>
      <c r="K38" s="7" t="str">
        <f>CONCATENATE(D38,"_F",G38,"_BIM_",B38)</f>
        <v>TN_C0M_F1A_BIM_II</v>
      </c>
      <c r="L38" s="8">
        <v>6.72</v>
      </c>
      <c r="M38" s="8">
        <v>7.5</v>
      </c>
      <c r="N38" s="8">
        <v>7.63</v>
      </c>
      <c r="O38" s="8">
        <v>7.22</v>
      </c>
      <c r="P38" s="8">
        <v>7.7</v>
      </c>
      <c r="Q38" s="8">
        <v>7.29</v>
      </c>
      <c r="R38" s="8">
        <v>7.62</v>
      </c>
      <c r="S38" s="8">
        <v>7.81</v>
      </c>
      <c r="T38" s="8">
        <v>71.176999999999992</v>
      </c>
    </row>
    <row r="39" spans="1:20" x14ac:dyDescent="0.3">
      <c r="A39" s="7" t="s">
        <v>31</v>
      </c>
      <c r="B39" s="27" t="s">
        <v>14</v>
      </c>
      <c r="C39" s="6" t="s">
        <v>46</v>
      </c>
      <c r="D39" s="6" t="s">
        <v>78</v>
      </c>
      <c r="E39" s="7">
        <v>21786</v>
      </c>
      <c r="F39" s="7" t="s">
        <v>49</v>
      </c>
      <c r="G39" s="7" t="s">
        <v>34</v>
      </c>
      <c r="H39" s="7" t="s">
        <v>38</v>
      </c>
      <c r="I39" s="5">
        <v>44524</v>
      </c>
      <c r="J39" s="7">
        <v>8</v>
      </c>
      <c r="K39" s="7" t="str">
        <f>CONCATENATE(D39,"_F",G39,"_BIM_",B39)</f>
        <v>TN_C0P_F1A_BIM_II</v>
      </c>
      <c r="L39" s="8">
        <v>6.97</v>
      </c>
      <c r="M39" s="8">
        <v>7.1</v>
      </c>
      <c r="N39" s="8">
        <v>5.39</v>
      </c>
      <c r="O39" s="8">
        <v>8.77</v>
      </c>
      <c r="P39" s="8">
        <v>7.14</v>
      </c>
      <c r="Q39" s="8">
        <v>7.22</v>
      </c>
      <c r="R39" s="8">
        <v>7.2</v>
      </c>
      <c r="S39" s="8">
        <v>6.54</v>
      </c>
      <c r="T39" s="8">
        <v>65.629000000000005</v>
      </c>
    </row>
    <row r="40" spans="1:20" x14ac:dyDescent="0.3">
      <c r="A40" s="7" t="s">
        <v>31</v>
      </c>
      <c r="B40" s="27" t="s">
        <v>14</v>
      </c>
      <c r="C40" s="6" t="s">
        <v>46</v>
      </c>
      <c r="D40" s="6" t="s">
        <v>80</v>
      </c>
      <c r="E40" s="7">
        <v>30023</v>
      </c>
      <c r="F40" s="7" t="s">
        <v>49</v>
      </c>
      <c r="G40" s="7" t="s">
        <v>34</v>
      </c>
      <c r="H40" s="7" t="s">
        <v>42</v>
      </c>
      <c r="I40" s="5">
        <v>44524</v>
      </c>
      <c r="J40" s="7">
        <v>8</v>
      </c>
      <c r="K40" s="7" t="str">
        <f>CONCATENATE(D40,"_F",G40,"_BIM_",B40)</f>
        <v>TN_C0R_F1A_BIM_II</v>
      </c>
      <c r="L40" s="8">
        <v>7.26</v>
      </c>
      <c r="M40" s="8">
        <v>7.32</v>
      </c>
      <c r="N40" s="8">
        <v>7.34</v>
      </c>
      <c r="O40" s="8">
        <v>5.64</v>
      </c>
      <c r="P40" s="8">
        <v>7.42</v>
      </c>
      <c r="Q40" s="8">
        <v>6.81</v>
      </c>
      <c r="R40" s="8">
        <v>7.32</v>
      </c>
      <c r="S40" s="8">
        <v>6.39</v>
      </c>
      <c r="T40" s="8">
        <v>67.367999999999995</v>
      </c>
    </row>
    <row r="41" spans="1:20" x14ac:dyDescent="0.3">
      <c r="A41" s="7" t="s">
        <v>31</v>
      </c>
      <c r="B41" s="27" t="s">
        <v>14</v>
      </c>
      <c r="C41" s="6" t="s">
        <v>46</v>
      </c>
      <c r="D41" s="6" t="s">
        <v>69</v>
      </c>
      <c r="E41" s="7">
        <v>85292</v>
      </c>
      <c r="F41" s="7" t="s">
        <v>47</v>
      </c>
      <c r="G41" s="7" t="s">
        <v>39</v>
      </c>
      <c r="H41" s="7" t="s">
        <v>35</v>
      </c>
      <c r="I41" s="5">
        <v>44531</v>
      </c>
      <c r="J41" s="6">
        <v>9</v>
      </c>
      <c r="K41" s="7" t="str">
        <f>CONCATENATE(D41,"_F",G41,"_BIM_",B41)</f>
        <v>TN_C0E_F2A_BIM_II</v>
      </c>
      <c r="L41" s="8">
        <v>7.46</v>
      </c>
      <c r="M41" s="8">
        <v>7.83</v>
      </c>
      <c r="N41" s="8">
        <v>7.51</v>
      </c>
      <c r="O41" s="8">
        <v>6.76</v>
      </c>
      <c r="P41" s="8">
        <v>5.9</v>
      </c>
      <c r="Q41" s="8">
        <v>6.31</v>
      </c>
      <c r="R41" s="8">
        <v>5.79</v>
      </c>
      <c r="S41" s="8">
        <v>6.24</v>
      </c>
      <c r="T41" s="8">
        <v>62.848999999999997</v>
      </c>
    </row>
    <row r="42" spans="1:20" x14ac:dyDescent="0.3">
      <c r="A42" s="7" t="s">
        <v>31</v>
      </c>
      <c r="B42" s="27" t="s">
        <v>14</v>
      </c>
      <c r="C42" s="6" t="s">
        <v>46</v>
      </c>
      <c r="D42" s="6" t="s">
        <v>72</v>
      </c>
      <c r="E42" s="7">
        <v>93552</v>
      </c>
      <c r="F42" s="7" t="s">
        <v>47</v>
      </c>
      <c r="G42" s="7" t="s">
        <v>43</v>
      </c>
      <c r="H42" s="7" t="s">
        <v>36</v>
      </c>
      <c r="I42" s="5">
        <v>44531</v>
      </c>
      <c r="J42" s="7">
        <v>9</v>
      </c>
      <c r="K42" s="7" t="str">
        <f>CONCATENATE(D42,"_F",G42,"_BIM_",B42)</f>
        <v>TN_C0G_F3A_BIM_II</v>
      </c>
      <c r="L42" s="8">
        <v>6.77</v>
      </c>
      <c r="M42" s="8">
        <v>8.26</v>
      </c>
      <c r="N42" s="8">
        <v>7.87</v>
      </c>
      <c r="O42" s="8">
        <v>5.94</v>
      </c>
      <c r="P42" s="8">
        <v>7.2</v>
      </c>
      <c r="Q42" s="8">
        <v>6.97</v>
      </c>
      <c r="R42" s="8">
        <v>7.31</v>
      </c>
      <c r="S42" s="8">
        <v>6.57</v>
      </c>
      <c r="T42" s="8">
        <v>69.066000000000003</v>
      </c>
    </row>
    <row r="43" spans="1:20" x14ac:dyDescent="0.3">
      <c r="A43" s="7" t="s">
        <v>31</v>
      </c>
      <c r="B43" s="27" t="s">
        <v>14</v>
      </c>
      <c r="C43" s="6" t="s">
        <v>46</v>
      </c>
      <c r="D43" s="6" t="s">
        <v>74</v>
      </c>
      <c r="E43" s="7" t="s">
        <v>50</v>
      </c>
      <c r="F43" s="7" t="s">
        <v>49</v>
      </c>
      <c r="G43" s="7" t="s">
        <v>34</v>
      </c>
      <c r="H43" s="7" t="s">
        <v>37</v>
      </c>
      <c r="I43" s="5">
        <v>44524</v>
      </c>
      <c r="J43" s="6">
        <v>9</v>
      </c>
      <c r="K43" s="7" t="str">
        <f>CONCATENATE(D43,"_F",G43,"_BIM_",B43)</f>
        <v>TN_C0I_F1A_BIM_II</v>
      </c>
      <c r="L43" s="8">
        <v>6.47</v>
      </c>
      <c r="M43" s="8">
        <v>6.74</v>
      </c>
      <c r="N43" s="8">
        <v>7.39</v>
      </c>
      <c r="O43" s="8">
        <v>5.93</v>
      </c>
      <c r="P43" s="8">
        <v>6.83</v>
      </c>
      <c r="Q43" s="8">
        <v>6.83</v>
      </c>
      <c r="R43" s="8">
        <v>7.23</v>
      </c>
      <c r="S43" s="8">
        <v>7.09</v>
      </c>
      <c r="T43" s="8">
        <v>65.801000000000002</v>
      </c>
    </row>
    <row r="44" spans="1:20" x14ac:dyDescent="0.3">
      <c r="A44" s="7" t="s">
        <v>31</v>
      </c>
      <c r="B44" s="27" t="s">
        <v>14</v>
      </c>
      <c r="C44" s="6" t="s">
        <v>46</v>
      </c>
      <c r="D44" s="6" t="s">
        <v>76</v>
      </c>
      <c r="E44" s="7">
        <v>12185</v>
      </c>
      <c r="F44" s="7" t="s">
        <v>49</v>
      </c>
      <c r="G44" s="7" t="s">
        <v>39</v>
      </c>
      <c r="H44" s="7" t="s">
        <v>38</v>
      </c>
      <c r="I44" s="5">
        <v>44531</v>
      </c>
      <c r="J44" s="7">
        <v>9</v>
      </c>
      <c r="K44" s="7" t="str">
        <f>CONCATENATE(D44,"_F",G44,"_BIM_",B44)</f>
        <v>TN_C0M_F2A_BIM_II</v>
      </c>
      <c r="L44" s="8">
        <v>7.46</v>
      </c>
      <c r="M44" s="8">
        <v>8.06</v>
      </c>
      <c r="N44" s="8">
        <v>7.43</v>
      </c>
      <c r="O44" s="8">
        <v>6.83</v>
      </c>
      <c r="P44" s="8">
        <v>7.3</v>
      </c>
      <c r="Q44" s="8">
        <v>7.41</v>
      </c>
      <c r="R44" s="8">
        <v>7.33</v>
      </c>
      <c r="S44" s="8">
        <v>6.86</v>
      </c>
      <c r="T44" s="8">
        <v>70.163000000000011</v>
      </c>
    </row>
    <row r="45" spans="1:20" x14ac:dyDescent="0.3">
      <c r="A45" s="7" t="s">
        <v>31</v>
      </c>
      <c r="B45" s="27" t="s">
        <v>14</v>
      </c>
      <c r="C45" s="6" t="s">
        <v>46</v>
      </c>
      <c r="D45" s="6" t="s">
        <v>78</v>
      </c>
      <c r="E45" s="7">
        <v>21378</v>
      </c>
      <c r="F45" s="7" t="s">
        <v>49</v>
      </c>
      <c r="G45" s="7" t="s">
        <v>39</v>
      </c>
      <c r="H45" s="7" t="s">
        <v>42</v>
      </c>
      <c r="I45" s="5">
        <v>44531</v>
      </c>
      <c r="J45" s="7">
        <v>9</v>
      </c>
      <c r="K45" s="7" t="str">
        <f>CONCATENATE(D45,"_F",G45,"_BIM_",B45)</f>
        <v>TN_C0P_F2A_BIM_II</v>
      </c>
      <c r="L45" s="8">
        <v>6.6</v>
      </c>
      <c r="M45" s="8">
        <v>6.53</v>
      </c>
      <c r="N45" s="8">
        <v>5.03</v>
      </c>
      <c r="O45" s="8">
        <v>7.53</v>
      </c>
      <c r="P45" s="8">
        <v>6.17</v>
      </c>
      <c r="Q45" s="8">
        <v>6.76</v>
      </c>
      <c r="R45" s="8">
        <v>6.36</v>
      </c>
      <c r="S45" s="8">
        <v>6.4</v>
      </c>
      <c r="T45" s="8">
        <v>59.552</v>
      </c>
    </row>
    <row r="46" spans="1:20" x14ac:dyDescent="0.3">
      <c r="A46" s="7" t="s">
        <v>31</v>
      </c>
      <c r="B46" s="27" t="s">
        <v>14</v>
      </c>
      <c r="C46" s="6" t="s">
        <v>46</v>
      </c>
      <c r="D46" s="6" t="s">
        <v>79</v>
      </c>
      <c r="E46" s="7">
        <v>26077</v>
      </c>
      <c r="F46" s="7" t="s">
        <v>51</v>
      </c>
      <c r="G46" s="7" t="s">
        <v>34</v>
      </c>
      <c r="H46" s="7" t="s">
        <v>44</v>
      </c>
      <c r="I46" s="5">
        <v>44531</v>
      </c>
      <c r="J46" s="7">
        <v>9</v>
      </c>
      <c r="K46" s="7" t="str">
        <f>CONCATENATE(D46,"_F",G46,"_BIM_",B46)</f>
        <v>TN_C0Q_F1A_BIM_II</v>
      </c>
      <c r="L46" s="8">
        <v>7.09</v>
      </c>
      <c r="M46" s="8">
        <v>7.19</v>
      </c>
      <c r="N46" s="8">
        <v>7.66</v>
      </c>
      <c r="O46" s="8">
        <v>6.31</v>
      </c>
      <c r="P46" s="8">
        <v>7.29</v>
      </c>
      <c r="Q46" s="8">
        <v>7.17</v>
      </c>
      <c r="R46" s="8">
        <v>7.26</v>
      </c>
      <c r="S46" s="8">
        <v>6.97</v>
      </c>
      <c r="T46" s="8">
        <v>68.661000000000001</v>
      </c>
    </row>
    <row r="47" spans="1:20" ht="15" customHeight="1" x14ac:dyDescent="0.3">
      <c r="A47" s="7" t="s">
        <v>31</v>
      </c>
      <c r="B47" s="27" t="s">
        <v>14</v>
      </c>
      <c r="C47" s="6" t="s">
        <v>46</v>
      </c>
      <c r="D47" s="6" t="s">
        <v>64</v>
      </c>
      <c r="E47" s="7">
        <v>68354</v>
      </c>
      <c r="F47" s="7" t="s">
        <v>47</v>
      </c>
      <c r="G47" s="7" t="s">
        <v>43</v>
      </c>
      <c r="H47" s="7" t="s">
        <v>35</v>
      </c>
      <c r="I47" s="5">
        <v>44510</v>
      </c>
      <c r="J47" s="7">
        <v>10</v>
      </c>
      <c r="K47" s="7" t="str">
        <f>CONCATENATE(D47,"_F",G47,"_BIM_",B47)</f>
        <v>TN_C0A_F3A_BIM_II</v>
      </c>
      <c r="L47" s="8">
        <v>7.5</v>
      </c>
      <c r="M47" s="8">
        <v>6.4714285714285724</v>
      </c>
      <c r="N47" s="8">
        <v>7.2714285714285714</v>
      </c>
      <c r="O47" s="8">
        <v>7.4857142857142867</v>
      </c>
      <c r="P47" s="8">
        <v>7.3571428571428568</v>
      </c>
      <c r="Q47" s="8">
        <v>6.7714285714285714</v>
      </c>
      <c r="R47" s="8">
        <v>6.7714285714285705</v>
      </c>
      <c r="S47" s="8">
        <v>6.4428571428571431</v>
      </c>
      <c r="T47" s="8">
        <v>66.575714285714284</v>
      </c>
    </row>
    <row r="48" spans="1:20" ht="15" customHeight="1" x14ac:dyDescent="0.3">
      <c r="A48" s="32" t="s">
        <v>31</v>
      </c>
      <c r="B48" s="27" t="s">
        <v>14</v>
      </c>
      <c r="C48" s="6" t="s">
        <v>46</v>
      </c>
      <c r="D48" s="6" t="s">
        <v>67</v>
      </c>
      <c r="E48" s="7">
        <v>76779</v>
      </c>
      <c r="F48" s="7" t="s">
        <v>47</v>
      </c>
      <c r="G48" s="7" t="s">
        <v>34</v>
      </c>
      <c r="H48" s="7" t="s">
        <v>36</v>
      </c>
      <c r="I48" s="5">
        <v>44510</v>
      </c>
      <c r="J48" s="7">
        <v>10</v>
      </c>
      <c r="K48" s="7" t="str">
        <f>CONCATENATE(D48,"_F",G48,"_BIM_",B48)</f>
        <v>TN_C0C_F1A_BIM_II</v>
      </c>
      <c r="L48" s="8">
        <v>6.5857142857142863</v>
      </c>
      <c r="M48" s="8">
        <v>6.242857142857142</v>
      </c>
      <c r="N48" s="8">
        <v>7.128571428571429</v>
      </c>
      <c r="O48" s="8">
        <v>8.2714285714285722</v>
      </c>
      <c r="P48" s="8">
        <v>7.5142857142857142</v>
      </c>
      <c r="Q48" s="8">
        <v>6.8571428571428568</v>
      </c>
      <c r="R48" s="8">
        <v>7.2285714285714286</v>
      </c>
      <c r="S48" s="8">
        <v>6.5857142857142863</v>
      </c>
      <c r="T48" s="8">
        <v>67.28857142857143</v>
      </c>
    </row>
    <row r="49" spans="1:20" ht="15" customHeight="1" x14ac:dyDescent="0.3">
      <c r="A49" s="32" t="s">
        <v>31</v>
      </c>
      <c r="B49" s="27" t="s">
        <v>14</v>
      </c>
      <c r="C49" s="6" t="s">
        <v>46</v>
      </c>
      <c r="D49" s="6" t="s">
        <v>68</v>
      </c>
      <c r="E49" s="7">
        <v>80788</v>
      </c>
      <c r="F49" s="7" t="s">
        <v>47</v>
      </c>
      <c r="G49" s="7" t="s">
        <v>34</v>
      </c>
      <c r="H49" s="7" t="s">
        <v>37</v>
      </c>
      <c r="I49" s="5">
        <v>44510</v>
      </c>
      <c r="J49" s="7">
        <v>10</v>
      </c>
      <c r="K49" s="7" t="str">
        <f>CONCATENATE(D49,"_F",G49,"_BIM_",B49)</f>
        <v>TN_C0D_F1A_BIM_II</v>
      </c>
      <c r="L49" s="8">
        <v>6.9857142857142858</v>
      </c>
      <c r="M49" s="8">
        <v>7.628571428571429</v>
      </c>
      <c r="N49" s="8">
        <v>7.4142857142857155</v>
      </c>
      <c r="O49" s="8">
        <v>6.9857142857142849</v>
      </c>
      <c r="P49" s="8">
        <v>7.757142857142858</v>
      </c>
      <c r="Q49" s="8">
        <v>7.3142857142857149</v>
      </c>
      <c r="R49" s="8">
        <v>7.3428571428571434</v>
      </c>
      <c r="S49" s="8">
        <v>7.1571428571428566</v>
      </c>
      <c r="T49" s="8">
        <v>70.298571428571421</v>
      </c>
    </row>
    <row r="50" spans="1:20" ht="15" customHeight="1" x14ac:dyDescent="0.3">
      <c r="A50" s="32" t="s">
        <v>31</v>
      </c>
      <c r="B50" s="27" t="s">
        <v>14</v>
      </c>
      <c r="C50" s="6" t="s">
        <v>46</v>
      </c>
      <c r="D50" s="6" t="s">
        <v>75</v>
      </c>
      <c r="E50" s="7">
        <v>4335</v>
      </c>
      <c r="F50" s="7" t="s">
        <v>49</v>
      </c>
      <c r="G50" s="7" t="s">
        <v>34</v>
      </c>
      <c r="H50" s="7" t="s">
        <v>38</v>
      </c>
      <c r="I50" s="5">
        <v>44510</v>
      </c>
      <c r="J50" s="7">
        <v>10</v>
      </c>
      <c r="K50" s="7" t="str">
        <f>CONCATENATE(D50,"_F",G50,"_BIM_",B50)</f>
        <v>TN_C0L_F1A_BIM_II</v>
      </c>
      <c r="L50" s="8">
        <v>6.9857142857142867</v>
      </c>
      <c r="M50" s="8">
        <v>4.9285714285714288</v>
      </c>
      <c r="N50" s="8">
        <v>5.6142857142857139</v>
      </c>
      <c r="O50" s="8">
        <v>7.5571428571428569</v>
      </c>
      <c r="P50" s="8">
        <v>7.2</v>
      </c>
      <c r="Q50" s="8">
        <v>6.4428571428571431</v>
      </c>
      <c r="R50" s="8">
        <v>6.7142857142857144</v>
      </c>
      <c r="S50" s="8">
        <v>7.0428571428571418</v>
      </c>
      <c r="T50" s="8">
        <v>61.32714285714286</v>
      </c>
    </row>
    <row r="51" spans="1:20" ht="15" customHeight="1" x14ac:dyDescent="0.3">
      <c r="A51" s="32" t="s">
        <v>31</v>
      </c>
      <c r="B51" s="27" t="s">
        <v>14</v>
      </c>
      <c r="C51" s="6" t="s">
        <v>46</v>
      </c>
      <c r="D51" s="6" t="s">
        <v>79</v>
      </c>
      <c r="E51" s="7">
        <v>26325</v>
      </c>
      <c r="F51" s="7" t="s">
        <v>49</v>
      </c>
      <c r="G51" s="7" t="s">
        <v>39</v>
      </c>
      <c r="H51" s="7" t="s">
        <v>42</v>
      </c>
      <c r="I51" s="5">
        <v>44510</v>
      </c>
      <c r="J51" s="7">
        <v>10</v>
      </c>
      <c r="K51" s="7" t="str">
        <f>CONCATENATE(D51,"_F",G51,"_BIM_",B51)</f>
        <v>TN_C0Q_F2A_BIM_II</v>
      </c>
      <c r="L51" s="8">
        <v>6.2857142857142856</v>
      </c>
      <c r="M51" s="8">
        <v>5.6714285714285717</v>
      </c>
      <c r="N51" s="8">
        <v>7.6285714285714281</v>
      </c>
      <c r="O51" s="8">
        <v>5.2142857142857144</v>
      </c>
      <c r="P51" s="8">
        <v>7.1857142857142842</v>
      </c>
      <c r="Q51" s="8">
        <v>6.8</v>
      </c>
      <c r="R51" s="8">
        <v>6.9571428571428573</v>
      </c>
      <c r="S51" s="8">
        <v>6.9714285714285706</v>
      </c>
      <c r="T51" s="8">
        <v>64.628571428571419</v>
      </c>
    </row>
    <row r="52" spans="1:20" x14ac:dyDescent="0.3">
      <c r="A52" s="32" t="s">
        <v>31</v>
      </c>
      <c r="B52" s="27" t="s">
        <v>14</v>
      </c>
      <c r="C52" s="6" t="s">
        <v>46</v>
      </c>
      <c r="D52" s="6" t="s">
        <v>68</v>
      </c>
      <c r="E52" s="7">
        <v>80710</v>
      </c>
      <c r="F52" s="7" t="s">
        <v>47</v>
      </c>
      <c r="G52" s="7" t="s">
        <v>39</v>
      </c>
      <c r="H52" s="7" t="s">
        <v>35</v>
      </c>
      <c r="I52" s="5">
        <v>44545</v>
      </c>
      <c r="J52" s="7">
        <v>11</v>
      </c>
      <c r="K52" s="7" t="str">
        <f>CONCATENATE(D52,"_F",G52,"_BIM_",B52)</f>
        <v>TN_C0D_F2A_BIM_II</v>
      </c>
      <c r="L52" s="8">
        <v>6.7</v>
      </c>
      <c r="M52" s="8">
        <v>6.8875000000000002</v>
      </c>
      <c r="N52" s="8">
        <v>6.9124999999999996</v>
      </c>
      <c r="O52" s="8">
        <v>7.0499999999999989</v>
      </c>
      <c r="P52" s="8">
        <v>7.2374999999999998</v>
      </c>
      <c r="Q52" s="8">
        <v>7.1875</v>
      </c>
      <c r="R52" s="8">
        <v>7.1624999999999996</v>
      </c>
      <c r="S52" s="8">
        <v>6.4375</v>
      </c>
      <c r="T52" s="8">
        <v>66.806249999999991</v>
      </c>
    </row>
    <row r="53" spans="1:20" x14ac:dyDescent="0.3">
      <c r="A53" s="32" t="s">
        <v>31</v>
      </c>
      <c r="B53" s="27" t="s">
        <v>14</v>
      </c>
      <c r="C53" s="6" t="s">
        <v>46</v>
      </c>
      <c r="D53" s="6" t="s">
        <v>74</v>
      </c>
      <c r="E53" s="7">
        <v>856</v>
      </c>
      <c r="F53" s="7" t="s">
        <v>49</v>
      </c>
      <c r="G53" s="7" t="s">
        <v>39</v>
      </c>
      <c r="H53" s="7" t="s">
        <v>36</v>
      </c>
      <c r="I53" s="5">
        <v>44545</v>
      </c>
      <c r="J53" s="7">
        <v>11</v>
      </c>
      <c r="K53" s="7" t="str">
        <f>CONCATENATE(D53,"_F",G53,"_BIM_",B53)</f>
        <v>TN_C0I_F2A_BIM_II</v>
      </c>
      <c r="L53" s="8">
        <v>6.9375</v>
      </c>
      <c r="M53" s="8">
        <v>6.9624999999999995</v>
      </c>
      <c r="N53" s="8">
        <v>7.3375000000000004</v>
      </c>
      <c r="O53" s="8">
        <v>5.2125000000000004</v>
      </c>
      <c r="P53" s="8">
        <v>7.6875</v>
      </c>
      <c r="Q53" s="8">
        <v>6.5750000000000002</v>
      </c>
      <c r="R53" s="8">
        <v>6.9125000000000005</v>
      </c>
      <c r="S53" s="8">
        <v>7.2499999999999991</v>
      </c>
      <c r="T53" s="8">
        <v>66.348749999999995</v>
      </c>
    </row>
    <row r="54" spans="1:20" x14ac:dyDescent="0.3">
      <c r="A54" s="32" t="s">
        <v>31</v>
      </c>
      <c r="B54" s="27" t="s">
        <v>14</v>
      </c>
      <c r="C54" s="6" t="s">
        <v>46</v>
      </c>
      <c r="D54" s="6" t="s">
        <v>76</v>
      </c>
      <c r="E54" s="7">
        <v>8190</v>
      </c>
      <c r="F54" s="7" t="s">
        <v>49</v>
      </c>
      <c r="G54" s="7" t="s">
        <v>39</v>
      </c>
      <c r="H54" s="7" t="s">
        <v>37</v>
      </c>
      <c r="I54" s="5">
        <v>44545</v>
      </c>
      <c r="J54" s="7">
        <v>11</v>
      </c>
      <c r="K54" s="7" t="str">
        <f>CONCATENATE(D54,"_F",G54,"_BIM_",B54)</f>
        <v>TN_C0M_F2A_BIM_II</v>
      </c>
      <c r="L54" s="8">
        <v>6.8249999999999993</v>
      </c>
      <c r="M54" s="8">
        <v>5.1375000000000002</v>
      </c>
      <c r="N54" s="8">
        <v>6.6375000000000002</v>
      </c>
      <c r="O54" s="8">
        <v>6.5625</v>
      </c>
      <c r="P54" s="8">
        <v>7.0749999999999993</v>
      </c>
      <c r="Q54" s="8">
        <v>6.2875000000000005</v>
      </c>
      <c r="R54" s="8">
        <v>6.7750000000000004</v>
      </c>
      <c r="S54" s="8">
        <v>6.3875000000000002</v>
      </c>
      <c r="T54" s="8">
        <v>61.881249999999994</v>
      </c>
    </row>
    <row r="55" spans="1:20" x14ac:dyDescent="0.3">
      <c r="A55" s="32" t="s">
        <v>31</v>
      </c>
      <c r="B55" s="27" t="s">
        <v>14</v>
      </c>
      <c r="C55" s="6" t="s">
        <v>46</v>
      </c>
      <c r="D55" s="6" t="s">
        <v>78</v>
      </c>
      <c r="E55" s="7">
        <v>21004</v>
      </c>
      <c r="F55" s="7" t="s">
        <v>49</v>
      </c>
      <c r="G55" s="7" t="s">
        <v>43</v>
      </c>
      <c r="H55" s="7" t="s">
        <v>38</v>
      </c>
      <c r="I55" s="5">
        <v>44545</v>
      </c>
      <c r="J55" s="7">
        <v>11</v>
      </c>
      <c r="K55" s="7" t="str">
        <f>CONCATENATE(D55,"_F",G55,"_BIM_",B55)</f>
        <v>TN_C0P_F3A_BIM_II</v>
      </c>
      <c r="L55" s="8">
        <v>6.1624999999999996</v>
      </c>
      <c r="M55" s="8">
        <v>6.65</v>
      </c>
      <c r="N55" s="8">
        <v>5.15</v>
      </c>
      <c r="O55" s="8">
        <v>8.2125000000000004</v>
      </c>
      <c r="P55" s="8">
        <v>5.65</v>
      </c>
      <c r="Q55" s="8">
        <v>6.7875000000000005</v>
      </c>
      <c r="R55" s="8">
        <v>6.1374999999999993</v>
      </c>
      <c r="S55" s="8">
        <v>5.9124999999999996</v>
      </c>
      <c r="T55" s="8">
        <v>58.563749999999999</v>
      </c>
    </row>
    <row r="56" spans="1:20" x14ac:dyDescent="0.3">
      <c r="A56" s="32" t="s">
        <v>31</v>
      </c>
      <c r="B56" s="27" t="s">
        <v>14</v>
      </c>
      <c r="C56" s="6" t="s">
        <v>46</v>
      </c>
      <c r="D56" s="6" t="s">
        <v>79</v>
      </c>
      <c r="E56" s="7">
        <v>26969</v>
      </c>
      <c r="F56" s="7" t="s">
        <v>49</v>
      </c>
      <c r="G56" s="7" t="s">
        <v>43</v>
      </c>
      <c r="H56" s="7" t="s">
        <v>42</v>
      </c>
      <c r="I56" s="5">
        <v>44545</v>
      </c>
      <c r="J56" s="7">
        <v>11</v>
      </c>
      <c r="K56" s="7" t="str">
        <f>CONCATENATE(D56,"_F",G56,"_BIM_",B56)</f>
        <v>TN_C0Q_F3A_BIM_II</v>
      </c>
      <c r="L56" s="8">
        <v>7.2125000000000004</v>
      </c>
      <c r="M56" s="8">
        <v>6.6874999999999991</v>
      </c>
      <c r="N56" s="8">
        <v>8.35</v>
      </c>
      <c r="O56" s="8">
        <v>5.2125000000000004</v>
      </c>
      <c r="P56" s="8">
        <v>7.2375000000000007</v>
      </c>
      <c r="Q56" s="8">
        <v>6.55</v>
      </c>
      <c r="R56" s="8">
        <v>7.0875000000000004</v>
      </c>
      <c r="S56" s="8">
        <v>6.8374999999999995</v>
      </c>
      <c r="T56" s="8">
        <v>67.243749999999991</v>
      </c>
    </row>
    <row r="57" spans="1:20" x14ac:dyDescent="0.3">
      <c r="A57" s="7" t="s">
        <v>31</v>
      </c>
      <c r="B57" s="30" t="s">
        <v>15</v>
      </c>
      <c r="C57" s="7" t="s">
        <v>52</v>
      </c>
      <c r="D57" s="7" t="s">
        <v>67</v>
      </c>
      <c r="E57" s="7">
        <v>78713</v>
      </c>
      <c r="F57" s="7" t="s">
        <v>47</v>
      </c>
      <c r="G57" s="33" t="s">
        <v>34</v>
      </c>
      <c r="H57" s="33" t="s">
        <v>35</v>
      </c>
      <c r="I57" s="34">
        <v>44573</v>
      </c>
      <c r="J57" s="7">
        <v>12</v>
      </c>
      <c r="K57" s="7" t="str">
        <f>CONCATENATE(D57,"_F",G57,"_BIM_",B57)</f>
        <v>TN_C0C_F1A_BIM_III</v>
      </c>
      <c r="L57" s="9">
        <v>6.9571428571428564</v>
      </c>
      <c r="M57" s="9">
        <v>5.9428571428571422</v>
      </c>
      <c r="N57" s="9">
        <v>6.4714285714285724</v>
      </c>
      <c r="O57" s="9">
        <v>6.7428571428571429</v>
      </c>
      <c r="P57" s="9">
        <v>6.742857142857142</v>
      </c>
      <c r="Q57" s="9">
        <v>6.4285714285714288</v>
      </c>
      <c r="R57" s="9">
        <v>6.1857142857142851</v>
      </c>
      <c r="S57" s="9">
        <v>6.0857142857142863</v>
      </c>
      <c r="T57" s="8">
        <v>61.114285714285714</v>
      </c>
    </row>
    <row r="58" spans="1:20" x14ac:dyDescent="0.3">
      <c r="A58" s="7" t="s">
        <v>31</v>
      </c>
      <c r="B58" s="30" t="s">
        <v>15</v>
      </c>
      <c r="C58" s="7" t="s">
        <v>52</v>
      </c>
      <c r="D58" s="7" t="s">
        <v>68</v>
      </c>
      <c r="E58" s="7">
        <v>82454</v>
      </c>
      <c r="F58" s="7" t="s">
        <v>53</v>
      </c>
      <c r="G58" s="33" t="s">
        <v>34</v>
      </c>
      <c r="H58" s="33" t="s">
        <v>36</v>
      </c>
      <c r="I58" s="34">
        <v>44573</v>
      </c>
      <c r="J58" s="7">
        <v>12</v>
      </c>
      <c r="K58" s="7" t="str">
        <f>CONCATENATE(D58,"_F",G58,"_BIM_",B58)</f>
        <v>TN_C0D_F1A_BIM_III</v>
      </c>
      <c r="L58" s="9">
        <v>6.1285714285714281</v>
      </c>
      <c r="M58" s="9">
        <v>7.5714285714285712</v>
      </c>
      <c r="N58" s="9">
        <v>6.1857142857142851</v>
      </c>
      <c r="O58" s="9">
        <v>8.3285714285714274</v>
      </c>
      <c r="P58" s="9">
        <v>6.5857142857142845</v>
      </c>
      <c r="Q58" s="9">
        <v>7.5857142857142863</v>
      </c>
      <c r="R58" s="9">
        <v>6.8714285714285719</v>
      </c>
      <c r="S58" s="9">
        <v>6.3285714285714292</v>
      </c>
      <c r="T58" s="8">
        <v>65.698571428571412</v>
      </c>
    </row>
    <row r="59" spans="1:20" x14ac:dyDescent="0.3">
      <c r="A59" s="7" t="s">
        <v>31</v>
      </c>
      <c r="B59" s="30" t="s">
        <v>15</v>
      </c>
      <c r="C59" s="7" t="s">
        <v>52</v>
      </c>
      <c r="D59" s="7" t="s">
        <v>76</v>
      </c>
      <c r="E59" s="7">
        <v>9495</v>
      </c>
      <c r="F59" s="7" t="s">
        <v>49</v>
      </c>
      <c r="G59" s="33" t="s">
        <v>34</v>
      </c>
      <c r="H59" s="33" t="s">
        <v>37</v>
      </c>
      <c r="I59" s="34">
        <v>44573</v>
      </c>
      <c r="J59" s="7">
        <v>12</v>
      </c>
      <c r="K59" s="7" t="str">
        <f>CONCATENATE(D59,"_F",G59,"_BIM_",B59)</f>
        <v>TN_C0M_F1A_BIM_III</v>
      </c>
      <c r="L59" s="9">
        <v>6.2428571428571429</v>
      </c>
      <c r="M59" s="9">
        <v>5.4571428571428573</v>
      </c>
      <c r="N59" s="9">
        <v>6.4571428571428573</v>
      </c>
      <c r="O59" s="9">
        <v>6.4571428571428564</v>
      </c>
      <c r="P59" s="9">
        <v>7.0285714285714276</v>
      </c>
      <c r="Q59" s="9">
        <v>7.1571428571428575</v>
      </c>
      <c r="R59" s="9">
        <v>6.9142857142857155</v>
      </c>
      <c r="S59" s="9">
        <v>5.9142857142857155</v>
      </c>
      <c r="T59" s="8">
        <v>62.881428571428565</v>
      </c>
    </row>
    <row r="60" spans="1:20" x14ac:dyDescent="0.3">
      <c r="A60" s="7" t="s">
        <v>31</v>
      </c>
      <c r="B60" s="30" t="s">
        <v>15</v>
      </c>
      <c r="C60" s="7" t="s">
        <v>52</v>
      </c>
      <c r="D60" s="7" t="s">
        <v>76</v>
      </c>
      <c r="E60" s="7">
        <v>13694</v>
      </c>
      <c r="F60" s="7" t="s">
        <v>49</v>
      </c>
      <c r="G60" s="33" t="s">
        <v>34</v>
      </c>
      <c r="H60" s="7" t="s">
        <v>38</v>
      </c>
      <c r="I60" s="34">
        <v>44573</v>
      </c>
      <c r="J60" s="7">
        <v>12</v>
      </c>
      <c r="K60" s="7" t="str">
        <f>CONCATENATE(D60,"_F",G60,"_BIM_",B60)</f>
        <v>TN_C0M_F1A_BIM_III</v>
      </c>
      <c r="L60" s="9">
        <v>6.8571428571428585</v>
      </c>
      <c r="M60" s="9">
        <v>6.7571428571428571</v>
      </c>
      <c r="N60" s="9">
        <v>6.5571428571428569</v>
      </c>
      <c r="O60" s="9">
        <v>6.1571428571428575</v>
      </c>
      <c r="P60" s="9">
        <v>7.2</v>
      </c>
      <c r="Q60" s="9">
        <v>7.1714285714285717</v>
      </c>
      <c r="R60" s="9">
        <v>7.1142857142857148</v>
      </c>
      <c r="S60" s="9">
        <v>7.1857142857142851</v>
      </c>
      <c r="T60" s="8">
        <v>65.831428571428575</v>
      </c>
    </row>
    <row r="61" spans="1:20" x14ac:dyDescent="0.3">
      <c r="A61" s="7" t="s">
        <v>31</v>
      </c>
      <c r="B61" s="30" t="s">
        <v>15</v>
      </c>
      <c r="C61" s="7" t="s">
        <v>52</v>
      </c>
      <c r="D61" s="7" t="s">
        <v>79</v>
      </c>
      <c r="E61" s="7">
        <v>28487</v>
      </c>
      <c r="F61" s="7" t="s">
        <v>49</v>
      </c>
      <c r="G61" s="33" t="s">
        <v>34</v>
      </c>
      <c r="H61" s="7" t="s">
        <v>42</v>
      </c>
      <c r="I61" s="34">
        <v>44573</v>
      </c>
      <c r="J61" s="7">
        <v>12</v>
      </c>
      <c r="K61" s="7" t="str">
        <f>CONCATENATE(D61,"_F",G61,"_BIM_",B61)</f>
        <v>TN_C0Q_F1A_BIM_III</v>
      </c>
      <c r="L61" s="9">
        <v>6.5714285714285712</v>
      </c>
      <c r="M61" s="9">
        <v>6.9428571428571431</v>
      </c>
      <c r="N61" s="9">
        <v>7.4714285714285724</v>
      </c>
      <c r="O61" s="9">
        <v>5.6571428571428566</v>
      </c>
      <c r="P61" s="9">
        <v>7.1142857142857139</v>
      </c>
      <c r="Q61" s="9">
        <v>6.4714285714285706</v>
      </c>
      <c r="R61" s="9">
        <v>6.8999999999999995</v>
      </c>
      <c r="S61" s="9">
        <v>7.4285714285714288</v>
      </c>
      <c r="T61" s="8">
        <v>65.521428571428558</v>
      </c>
    </row>
    <row r="62" spans="1:20" x14ac:dyDescent="0.3">
      <c r="A62" s="7" t="s">
        <v>31</v>
      </c>
      <c r="B62" s="30" t="s">
        <v>15</v>
      </c>
      <c r="C62" s="7" t="s">
        <v>52</v>
      </c>
      <c r="D62" s="6" t="s">
        <v>66</v>
      </c>
      <c r="E62" s="7">
        <v>73136</v>
      </c>
      <c r="F62" s="7" t="s">
        <v>47</v>
      </c>
      <c r="G62" s="7" t="s">
        <v>34</v>
      </c>
      <c r="H62" s="33" t="s">
        <v>35</v>
      </c>
      <c r="I62" s="5">
        <v>44580</v>
      </c>
      <c r="J62" s="7">
        <v>13</v>
      </c>
      <c r="K62" s="7" t="str">
        <f>CONCATENATE(D62,"_F",G62,"_BIM_",B62)</f>
        <v>TN_C0B_F1A_BIM_III</v>
      </c>
      <c r="L62" s="8">
        <v>7.7714285714285722</v>
      </c>
      <c r="M62" s="8">
        <v>6.4142857142857155</v>
      </c>
      <c r="N62" s="8">
        <v>6.2000000000000011</v>
      </c>
      <c r="O62" s="8">
        <v>7.2428571428571429</v>
      </c>
      <c r="P62" s="8">
        <v>6.8142857142857149</v>
      </c>
      <c r="Q62" s="8">
        <v>6.4</v>
      </c>
      <c r="R62" s="8">
        <v>6.3857142857142861</v>
      </c>
      <c r="S62" s="8">
        <v>7.5857142857142863</v>
      </c>
      <c r="T62" s="8">
        <v>63.075714285714291</v>
      </c>
    </row>
    <row r="63" spans="1:20" x14ac:dyDescent="0.3">
      <c r="A63" s="7" t="s">
        <v>31</v>
      </c>
      <c r="B63" s="30" t="s">
        <v>15</v>
      </c>
      <c r="C63" s="7" t="s">
        <v>52</v>
      </c>
      <c r="D63" s="6" t="s">
        <v>69</v>
      </c>
      <c r="E63" s="7">
        <v>86266</v>
      </c>
      <c r="F63" s="7" t="s">
        <v>47</v>
      </c>
      <c r="G63" s="7" t="s">
        <v>34</v>
      </c>
      <c r="H63" s="33" t="s">
        <v>36</v>
      </c>
      <c r="I63" s="5">
        <v>44580</v>
      </c>
      <c r="J63" s="7">
        <v>13</v>
      </c>
      <c r="K63" s="7" t="str">
        <f>CONCATENATE(D63,"_F",G63,"_BIM_",B63)</f>
        <v>TN_C0E_F1A_BIM_III</v>
      </c>
      <c r="L63" s="8">
        <v>7.0428571428571436</v>
      </c>
      <c r="M63" s="8">
        <v>8.4428571428571413</v>
      </c>
      <c r="N63" s="8">
        <v>8.5</v>
      </c>
      <c r="O63" s="8">
        <v>7.0142857142857142</v>
      </c>
      <c r="P63" s="8">
        <v>6.7000000000000011</v>
      </c>
      <c r="Q63" s="8">
        <v>6.0714285714285712</v>
      </c>
      <c r="R63" s="8">
        <v>6.3</v>
      </c>
      <c r="S63" s="8">
        <v>6.4571428571428573</v>
      </c>
      <c r="T63" s="8">
        <v>66.977142857142866</v>
      </c>
    </row>
    <row r="64" spans="1:20" x14ac:dyDescent="0.3">
      <c r="A64" s="7" t="s">
        <v>31</v>
      </c>
      <c r="B64" s="30" t="s">
        <v>15</v>
      </c>
      <c r="C64" s="7" t="s">
        <v>52</v>
      </c>
      <c r="D64" s="6" t="s">
        <v>76</v>
      </c>
      <c r="E64" s="7">
        <v>9772</v>
      </c>
      <c r="F64" s="7" t="s">
        <v>49</v>
      </c>
      <c r="G64" s="7" t="s">
        <v>39</v>
      </c>
      <c r="H64" s="33" t="s">
        <v>37</v>
      </c>
      <c r="I64" s="5">
        <v>44580</v>
      </c>
      <c r="J64" s="7">
        <v>13</v>
      </c>
      <c r="K64" s="7" t="str">
        <f>CONCATENATE(D64,"_F",G64,"_BIM_",B64)</f>
        <v>TN_C0M_F2A_BIM_III</v>
      </c>
      <c r="L64" s="8">
        <v>6.9571428571428573</v>
      </c>
      <c r="M64" s="8">
        <v>5.9857142857142858</v>
      </c>
      <c r="N64" s="8">
        <v>6.9714285714285706</v>
      </c>
      <c r="O64" s="8">
        <v>6.7571428571428571</v>
      </c>
      <c r="P64" s="8">
        <v>7.2285714285714278</v>
      </c>
      <c r="Q64" s="8">
        <v>7.2285714285714286</v>
      </c>
      <c r="R64" s="8">
        <v>7.3142857142857149</v>
      </c>
      <c r="S64" s="8">
        <v>6.757142857142858</v>
      </c>
      <c r="T64" s="8">
        <v>66.455714285714279</v>
      </c>
    </row>
    <row r="65" spans="1:20" x14ac:dyDescent="0.3">
      <c r="A65" s="7" t="s">
        <v>31</v>
      </c>
      <c r="B65" s="30" t="s">
        <v>15</v>
      </c>
      <c r="C65" s="7" t="s">
        <v>52</v>
      </c>
      <c r="D65" s="6" t="s">
        <v>77</v>
      </c>
      <c r="E65" s="7">
        <v>19083</v>
      </c>
      <c r="F65" s="7" t="s">
        <v>49</v>
      </c>
      <c r="G65" s="7" t="s">
        <v>34</v>
      </c>
      <c r="H65" s="7" t="s">
        <v>38</v>
      </c>
      <c r="I65" s="5">
        <v>44580</v>
      </c>
      <c r="J65" s="7">
        <v>13</v>
      </c>
      <c r="K65" s="7" t="str">
        <f>CONCATENATE(D65,"_F",G65,"_BIM_",B65)</f>
        <v>TN_C0O_F1A_BIM_III</v>
      </c>
      <c r="L65" s="8">
        <v>8.0428571428571427</v>
      </c>
      <c r="M65" s="8">
        <v>6.2142857142857135</v>
      </c>
      <c r="N65" s="8">
        <v>7.1285714285714281</v>
      </c>
      <c r="O65" s="8">
        <v>7.385714285714287</v>
      </c>
      <c r="P65" s="8">
        <v>7.3142857142857141</v>
      </c>
      <c r="Q65" s="8">
        <v>6.3285714285714292</v>
      </c>
      <c r="R65" s="8">
        <v>6.4714285714285724</v>
      </c>
      <c r="S65" s="8">
        <v>6.3</v>
      </c>
      <c r="T65" s="8">
        <v>64.934285714285721</v>
      </c>
    </row>
    <row r="66" spans="1:20" x14ac:dyDescent="0.3">
      <c r="A66" s="7" t="s">
        <v>31</v>
      </c>
      <c r="B66" s="30" t="s">
        <v>15</v>
      </c>
      <c r="C66" s="7" t="s">
        <v>52</v>
      </c>
      <c r="D66" s="6" t="s">
        <v>79</v>
      </c>
      <c r="E66" s="7">
        <v>28761</v>
      </c>
      <c r="F66" s="7" t="s">
        <v>49</v>
      </c>
      <c r="G66" s="7" t="s">
        <v>39</v>
      </c>
      <c r="H66" s="7" t="s">
        <v>42</v>
      </c>
      <c r="I66" s="5">
        <v>44580</v>
      </c>
      <c r="J66" s="7">
        <v>13</v>
      </c>
      <c r="K66" s="7" t="str">
        <f>CONCATENATE(D66,"_F",G66,"_BIM_",B66)</f>
        <v>TN_C0Q_F2A_BIM_III</v>
      </c>
      <c r="L66" s="8">
        <v>6.871428571428571</v>
      </c>
      <c r="M66" s="8">
        <v>7.3285714285714292</v>
      </c>
      <c r="N66" s="8">
        <v>7.742857142857142</v>
      </c>
      <c r="O66" s="8">
        <v>6.0000000000000009</v>
      </c>
      <c r="P66" s="8">
        <v>7.371428571428571</v>
      </c>
      <c r="Q66" s="8">
        <v>6.3714285714285719</v>
      </c>
      <c r="R66" s="8">
        <v>6.5285714285714276</v>
      </c>
      <c r="S66" s="8">
        <v>7.5857142857142863</v>
      </c>
      <c r="T66" s="8">
        <v>66.468571428571423</v>
      </c>
    </row>
    <row r="67" spans="1:20" x14ac:dyDescent="0.3">
      <c r="A67" s="32" t="s">
        <v>31</v>
      </c>
      <c r="B67" s="27" t="s">
        <v>15</v>
      </c>
      <c r="C67" s="6" t="s">
        <v>52</v>
      </c>
      <c r="D67" s="6" t="s">
        <v>68</v>
      </c>
      <c r="E67" s="7">
        <v>83072</v>
      </c>
      <c r="F67" s="7" t="s">
        <v>47</v>
      </c>
      <c r="G67" s="7" t="s">
        <v>39</v>
      </c>
      <c r="H67" s="7" t="s">
        <v>35</v>
      </c>
      <c r="I67" s="5">
        <v>44587</v>
      </c>
      <c r="J67" s="7">
        <v>14</v>
      </c>
      <c r="K67" s="7" t="str">
        <f>CONCATENATE(D67,"_F",G67,"_BIM_",B67)</f>
        <v>TN_C0D_F2A_BIM_III</v>
      </c>
      <c r="L67" s="8">
        <v>6.6999999999999993</v>
      </c>
      <c r="M67" s="8">
        <v>6.8875000000000002</v>
      </c>
      <c r="N67" s="8">
        <v>5.8624999999999998</v>
      </c>
      <c r="O67" s="8">
        <v>8.6</v>
      </c>
      <c r="P67" s="8">
        <v>6.8249999999999993</v>
      </c>
      <c r="Q67" s="8">
        <v>7.2250000000000005</v>
      </c>
      <c r="R67" s="8">
        <v>7.2375000000000007</v>
      </c>
      <c r="S67" s="8">
        <v>6.35</v>
      </c>
      <c r="T67" s="8">
        <v>65.417000000000002</v>
      </c>
    </row>
    <row r="68" spans="1:20" x14ac:dyDescent="0.3">
      <c r="A68" s="32" t="s">
        <v>31</v>
      </c>
      <c r="B68" s="27" t="s">
        <v>15</v>
      </c>
      <c r="C68" s="6" t="s">
        <v>52</v>
      </c>
      <c r="D68" s="6" t="s">
        <v>71</v>
      </c>
      <c r="E68" s="7">
        <v>89324</v>
      </c>
      <c r="F68" s="7" t="s">
        <v>47</v>
      </c>
      <c r="G68" s="7" t="s">
        <v>34</v>
      </c>
      <c r="H68" s="7" t="s">
        <v>36</v>
      </c>
      <c r="I68" s="5">
        <v>44587</v>
      </c>
      <c r="J68" s="7">
        <v>14</v>
      </c>
      <c r="K68" s="7" t="str">
        <f>CONCATENATE(D68,"_F",G68,"_BIM_",B68)</f>
        <v>TN_C0F_F1A_BIM_III</v>
      </c>
      <c r="L68" s="8">
        <v>7.7750000000000004</v>
      </c>
      <c r="M68" s="8">
        <v>7.6499999999999995</v>
      </c>
      <c r="N68" s="8">
        <v>7.1000000000000005</v>
      </c>
      <c r="O68" s="8">
        <v>6.0750000000000002</v>
      </c>
      <c r="P68" s="8">
        <v>7.2750000000000004</v>
      </c>
      <c r="Q68" s="8">
        <v>7.0375000000000005</v>
      </c>
      <c r="R68" s="8">
        <v>7.2125000000000004</v>
      </c>
      <c r="S68" s="8">
        <v>7.1124999999999998</v>
      </c>
      <c r="T68" s="8">
        <v>68.178750000000008</v>
      </c>
    </row>
    <row r="69" spans="1:20" x14ac:dyDescent="0.3">
      <c r="A69" s="32" t="s">
        <v>31</v>
      </c>
      <c r="B69" s="27" t="s">
        <v>15</v>
      </c>
      <c r="C69" s="6" t="s">
        <v>52</v>
      </c>
      <c r="D69" s="6" t="s">
        <v>73</v>
      </c>
      <c r="E69" s="7">
        <v>99072</v>
      </c>
      <c r="F69" s="7" t="s">
        <v>47</v>
      </c>
      <c r="G69" s="7" t="s">
        <v>34</v>
      </c>
      <c r="H69" s="7" t="s">
        <v>37</v>
      </c>
      <c r="I69" s="5">
        <v>44587</v>
      </c>
      <c r="J69" s="7">
        <v>14</v>
      </c>
      <c r="K69" s="7" t="str">
        <f>CONCATENATE(D69,"_F",G69,"_BIM_",B69)</f>
        <v>TN_C0H_F1A_BIM_III</v>
      </c>
      <c r="L69" s="8">
        <v>7.05</v>
      </c>
      <c r="M69" s="8">
        <v>5.45</v>
      </c>
      <c r="N69" s="8">
        <v>6.6</v>
      </c>
      <c r="O69" s="8">
        <v>6.2625000000000002</v>
      </c>
      <c r="P69" s="8">
        <v>7.4874999999999998</v>
      </c>
      <c r="Q69" s="8">
        <v>7.0125000000000002</v>
      </c>
      <c r="R69" s="8">
        <v>7.45</v>
      </c>
      <c r="S69" s="8">
        <v>6.5000000000000009</v>
      </c>
      <c r="T69" s="8">
        <v>65.222499999999997</v>
      </c>
    </row>
    <row r="70" spans="1:20" x14ac:dyDescent="0.3">
      <c r="A70" s="32" t="s">
        <v>31</v>
      </c>
      <c r="B70" s="27" t="s">
        <v>15</v>
      </c>
      <c r="C70" s="6" t="s">
        <v>52</v>
      </c>
      <c r="D70" s="6" t="s">
        <v>74</v>
      </c>
      <c r="E70" s="7">
        <v>2139</v>
      </c>
      <c r="F70" s="7" t="s">
        <v>49</v>
      </c>
      <c r="G70" s="7" t="s">
        <v>34</v>
      </c>
      <c r="H70" s="7" t="s">
        <v>38</v>
      </c>
      <c r="I70" s="5">
        <v>44587</v>
      </c>
      <c r="J70" s="7">
        <v>14</v>
      </c>
      <c r="K70" s="7" t="str">
        <f>CONCATENATE(D70,"_F",G70,"_BIM_",B70)</f>
        <v>TN_C0I_F1A_BIM_III</v>
      </c>
      <c r="L70" s="8">
        <v>7.7124999999999995</v>
      </c>
      <c r="M70" s="8">
        <v>6.5</v>
      </c>
      <c r="N70" s="8">
        <v>7.6124999999999998</v>
      </c>
      <c r="O70" s="8">
        <v>5.8624999999999998</v>
      </c>
      <c r="P70" s="8">
        <v>6.8875000000000002</v>
      </c>
      <c r="Q70" s="8">
        <v>6.375</v>
      </c>
      <c r="R70" s="8">
        <v>6.7875000000000005</v>
      </c>
      <c r="S70" s="8">
        <v>6.85</v>
      </c>
      <c r="T70" s="8">
        <v>65.096249999999998</v>
      </c>
    </row>
    <row r="71" spans="1:20" x14ac:dyDescent="0.3">
      <c r="A71" s="32" t="s">
        <v>31</v>
      </c>
      <c r="B71" s="27" t="s">
        <v>15</v>
      </c>
      <c r="C71" s="6" t="s">
        <v>52</v>
      </c>
      <c r="D71" s="6" t="s">
        <v>76</v>
      </c>
      <c r="E71" s="7">
        <v>13991</v>
      </c>
      <c r="F71" s="7" t="s">
        <v>49</v>
      </c>
      <c r="G71" s="7" t="s">
        <v>39</v>
      </c>
      <c r="H71" s="7" t="s">
        <v>42</v>
      </c>
      <c r="I71" s="5">
        <v>44587</v>
      </c>
      <c r="J71" s="7">
        <v>14</v>
      </c>
      <c r="K71" s="7" t="str">
        <f>CONCATENATE(D71,"_F",G71,"_BIM_",B71)</f>
        <v>TN_C0M_F2A_BIM_III</v>
      </c>
      <c r="L71" s="8">
        <v>7.0750000000000002</v>
      </c>
      <c r="M71" s="8">
        <v>5.35</v>
      </c>
      <c r="N71" s="8">
        <v>7.8374999999999995</v>
      </c>
      <c r="O71" s="8">
        <v>7.15</v>
      </c>
      <c r="P71" s="8">
        <v>7.25</v>
      </c>
      <c r="Q71" s="8">
        <v>6.6875</v>
      </c>
      <c r="R71" s="8">
        <v>6.8749999999999991</v>
      </c>
      <c r="S71" s="8">
        <v>6.8875000000000011</v>
      </c>
      <c r="T71" s="8">
        <v>66.033749999999998</v>
      </c>
    </row>
    <row r="72" spans="1:20" x14ac:dyDescent="0.3">
      <c r="A72" s="32" t="s">
        <v>31</v>
      </c>
      <c r="B72" s="27" t="s">
        <v>15</v>
      </c>
      <c r="C72" s="6" t="s">
        <v>52</v>
      </c>
      <c r="D72" s="6" t="s">
        <v>78</v>
      </c>
      <c r="E72" s="7">
        <v>23488</v>
      </c>
      <c r="F72" s="7" t="s">
        <v>49</v>
      </c>
      <c r="G72" s="7" t="s">
        <v>39</v>
      </c>
      <c r="H72" s="7" t="s">
        <v>44</v>
      </c>
      <c r="I72" s="5">
        <v>44587</v>
      </c>
      <c r="J72" s="7">
        <v>14</v>
      </c>
      <c r="K72" s="7" t="str">
        <f>CONCATENATE(D72,"_F",G72,"_BIM_",B72)</f>
        <v>TN_C0P_F2A_BIM_III</v>
      </c>
      <c r="L72" s="8">
        <v>6.8</v>
      </c>
      <c r="M72" s="8">
        <v>6.8624999999999998</v>
      </c>
      <c r="N72" s="8">
        <v>5.6750000000000007</v>
      </c>
      <c r="O72" s="8">
        <v>8.2750000000000021</v>
      </c>
      <c r="P72" s="8">
        <v>6.625</v>
      </c>
      <c r="Q72" s="8">
        <v>7.35</v>
      </c>
      <c r="R72" s="8">
        <v>6.8374999999999995</v>
      </c>
      <c r="S72" s="8">
        <v>6.6124999999999998</v>
      </c>
      <c r="T72" s="8">
        <v>64.242499999999993</v>
      </c>
    </row>
    <row r="73" spans="1:20" x14ac:dyDescent="0.3">
      <c r="A73" s="32" t="s">
        <v>31</v>
      </c>
      <c r="B73" s="27" t="s">
        <v>15</v>
      </c>
      <c r="C73" s="6" t="s">
        <v>52</v>
      </c>
      <c r="D73" s="6" t="s">
        <v>64</v>
      </c>
      <c r="E73" s="7">
        <v>71677</v>
      </c>
      <c r="F73" s="7" t="s">
        <v>47</v>
      </c>
      <c r="G73" s="7" t="s">
        <v>34</v>
      </c>
      <c r="H73" s="7" t="s">
        <v>35</v>
      </c>
      <c r="I73" s="5">
        <v>44594</v>
      </c>
      <c r="J73" s="7">
        <v>15</v>
      </c>
      <c r="K73" s="7" t="str">
        <f>CONCATENATE(D73,"_F",G73,"_BIM_",B73)</f>
        <v>TN_C0A_F1A_BIM_III</v>
      </c>
      <c r="L73" s="8">
        <v>6.9</v>
      </c>
      <c r="M73" s="8">
        <v>6.1444444444444439</v>
      </c>
      <c r="N73" s="8">
        <v>7.166666666666667</v>
      </c>
      <c r="O73" s="8">
        <v>6.2111111111111112</v>
      </c>
      <c r="P73" s="8">
        <v>7.7222222222222205</v>
      </c>
      <c r="Q73" s="8">
        <v>7.1</v>
      </c>
      <c r="R73" s="8">
        <v>7.1888888888888891</v>
      </c>
      <c r="S73" s="8">
        <v>6.1111111111111107</v>
      </c>
      <c r="T73" s="8">
        <v>66.668888888888887</v>
      </c>
    </row>
    <row r="74" spans="1:20" x14ac:dyDescent="0.3">
      <c r="A74" s="32" t="s">
        <v>31</v>
      </c>
      <c r="B74" s="27" t="s">
        <v>15</v>
      </c>
      <c r="C74" s="6" t="s">
        <v>52</v>
      </c>
      <c r="D74" s="6" t="s">
        <v>68</v>
      </c>
      <c r="E74" s="7">
        <v>82874</v>
      </c>
      <c r="F74" s="7" t="s">
        <v>47</v>
      </c>
      <c r="G74" s="7" t="s">
        <v>43</v>
      </c>
      <c r="H74" s="7" t="s">
        <v>36</v>
      </c>
      <c r="I74" s="5">
        <v>44594</v>
      </c>
      <c r="J74" s="7">
        <v>15</v>
      </c>
      <c r="K74" s="7" t="str">
        <f>CONCATENATE(D74,"_F",G74,"_BIM_",B74)</f>
        <v>TN_C0D_F3A_BIM_III</v>
      </c>
      <c r="L74" s="8">
        <v>6.7</v>
      </c>
      <c r="M74" s="8">
        <v>6.833333333333333</v>
      </c>
      <c r="N74" s="8">
        <v>7.1444444444444457</v>
      </c>
      <c r="O74" s="8">
        <v>8.2222222222222214</v>
      </c>
      <c r="P74" s="8">
        <v>7.1111111111111107</v>
      </c>
      <c r="Q74" s="8">
        <v>7.2111111111111104</v>
      </c>
      <c r="R74" s="8">
        <v>7.533333333333335</v>
      </c>
      <c r="S74" s="8">
        <v>6.3444444444444441</v>
      </c>
      <c r="T74" s="8">
        <v>68.25888888888889</v>
      </c>
    </row>
    <row r="75" spans="1:20" x14ac:dyDescent="0.3">
      <c r="A75" s="32" t="s">
        <v>31</v>
      </c>
      <c r="B75" s="27" t="s">
        <v>15</v>
      </c>
      <c r="C75" s="6" t="s">
        <v>52</v>
      </c>
      <c r="D75" s="6" t="s">
        <v>69</v>
      </c>
      <c r="E75" s="7">
        <v>86509</v>
      </c>
      <c r="F75" s="7" t="s">
        <v>47</v>
      </c>
      <c r="G75" s="7" t="s">
        <v>39</v>
      </c>
      <c r="H75" s="7" t="s">
        <v>37</v>
      </c>
      <c r="I75" s="5">
        <v>44594</v>
      </c>
      <c r="J75" s="7">
        <v>15</v>
      </c>
      <c r="K75" s="7" t="str">
        <f>CONCATENATE(D75,"_F",G75,"_BIM_",B75)</f>
        <v>TN_C0E_F2A_BIM_III</v>
      </c>
      <c r="L75" s="8">
        <v>6.4666666666666659</v>
      </c>
      <c r="M75" s="8">
        <v>5.8777777777777773</v>
      </c>
      <c r="N75" s="8">
        <v>6.3333333333333321</v>
      </c>
      <c r="O75" s="8">
        <v>7.6111111111111107</v>
      </c>
      <c r="P75" s="8">
        <v>6.7333333333333334</v>
      </c>
      <c r="Q75" s="8">
        <v>5.9777777777777779</v>
      </c>
      <c r="R75" s="8">
        <v>6.4888888888888889</v>
      </c>
      <c r="S75" s="8">
        <v>6.5666666666666664</v>
      </c>
      <c r="T75" s="8">
        <v>61.014444444444443</v>
      </c>
    </row>
    <row r="76" spans="1:20" x14ac:dyDescent="0.3">
      <c r="A76" s="32" t="s">
        <v>31</v>
      </c>
      <c r="B76" s="27" t="s">
        <v>15</v>
      </c>
      <c r="C76" s="6" t="s">
        <v>52</v>
      </c>
      <c r="D76" s="6" t="s">
        <v>72</v>
      </c>
      <c r="E76" s="7">
        <v>94522</v>
      </c>
      <c r="F76" s="7" t="s">
        <v>47</v>
      </c>
      <c r="G76" s="7" t="s">
        <v>34</v>
      </c>
      <c r="H76" s="7" t="s">
        <v>38</v>
      </c>
      <c r="I76" s="5">
        <v>44594</v>
      </c>
      <c r="J76" s="7">
        <v>15</v>
      </c>
      <c r="K76" s="7" t="str">
        <f>CONCATENATE(D76,"_F",G76,"_BIM_",B76)</f>
        <v>TN_C0G_F1A_BIM_III</v>
      </c>
      <c r="L76" s="8">
        <v>6.9777777777777779</v>
      </c>
      <c r="M76" s="8">
        <v>7.8888888888888893</v>
      </c>
      <c r="N76" s="8">
        <v>6.166666666666667</v>
      </c>
      <c r="O76" s="8">
        <v>6.3888888888888884</v>
      </c>
      <c r="P76" s="8">
        <v>7.4777777777777779</v>
      </c>
      <c r="Q76" s="8">
        <v>7.0111111111111102</v>
      </c>
      <c r="R76" s="8">
        <v>7.166666666666667</v>
      </c>
      <c r="S76" s="8">
        <v>7.2333333333333343</v>
      </c>
      <c r="T76" s="8">
        <v>66.823333333333323</v>
      </c>
    </row>
    <row r="77" spans="1:20" x14ac:dyDescent="0.3">
      <c r="A77" s="32" t="s">
        <v>31</v>
      </c>
      <c r="B77" s="27" t="s">
        <v>15</v>
      </c>
      <c r="C77" s="6" t="s">
        <v>52</v>
      </c>
      <c r="D77" s="6" t="s">
        <v>74</v>
      </c>
      <c r="E77" s="7">
        <v>2427</v>
      </c>
      <c r="F77" s="7" t="s">
        <v>49</v>
      </c>
      <c r="G77" s="7" t="s">
        <v>39</v>
      </c>
      <c r="H77" s="7" t="s">
        <v>42</v>
      </c>
      <c r="I77" s="5">
        <v>44594</v>
      </c>
      <c r="J77" s="7">
        <v>15</v>
      </c>
      <c r="K77" s="7" t="str">
        <f>CONCATENATE(D77,"_F",G77,"_BIM_",B77)</f>
        <v>TN_C0I_F2A_BIM_III</v>
      </c>
      <c r="L77" s="8">
        <v>7.3555555555555561</v>
      </c>
      <c r="M77" s="8">
        <v>7.5111111111111102</v>
      </c>
      <c r="N77" s="8">
        <v>7.488888888888888</v>
      </c>
      <c r="O77" s="8">
        <v>6.4888888888888889</v>
      </c>
      <c r="P77" s="8">
        <v>7.4666666666666668</v>
      </c>
      <c r="Q77" s="8">
        <v>6.9555555555555539</v>
      </c>
      <c r="R77" s="8">
        <v>7.466666666666665</v>
      </c>
      <c r="S77" s="8">
        <v>7.6333333333333337</v>
      </c>
      <c r="T77" s="8">
        <v>69.576666666666654</v>
      </c>
    </row>
    <row r="78" spans="1:20" x14ac:dyDescent="0.3">
      <c r="A78" s="32" t="s">
        <v>31</v>
      </c>
      <c r="B78" s="27" t="s">
        <v>15</v>
      </c>
      <c r="C78" s="6" t="s">
        <v>52</v>
      </c>
      <c r="D78" s="6" t="s">
        <v>78</v>
      </c>
      <c r="E78" s="7">
        <v>23391</v>
      </c>
      <c r="F78" s="7" t="s">
        <v>49</v>
      </c>
      <c r="G78" s="7" t="s">
        <v>34</v>
      </c>
      <c r="H78" s="7" t="s">
        <v>44</v>
      </c>
      <c r="I78" s="5">
        <v>44594</v>
      </c>
      <c r="J78" s="7">
        <v>15</v>
      </c>
      <c r="K78" s="7" t="str">
        <f>CONCATENATE(D78,"_F",G78,"_BIM_",B78)</f>
        <v>TN_C0P_F1A_BIM_III</v>
      </c>
      <c r="L78" s="8">
        <v>6.5888888888888886</v>
      </c>
      <c r="M78" s="8">
        <v>6.2888888888888888</v>
      </c>
      <c r="N78" s="8">
        <v>6.6444444444444448</v>
      </c>
      <c r="O78" s="8">
        <v>7.0222222222222221</v>
      </c>
      <c r="P78" s="8">
        <v>6.7777777777777777</v>
      </c>
      <c r="Q78" s="8">
        <v>7.5555555555555554</v>
      </c>
      <c r="R78" s="8">
        <v>7.2777777777777777</v>
      </c>
      <c r="S78" s="8">
        <v>6.4555555555555557</v>
      </c>
      <c r="T78" s="8">
        <v>65.717777777777769</v>
      </c>
    </row>
    <row r="79" spans="1:20" x14ac:dyDescent="0.3">
      <c r="A79" s="32" t="s">
        <v>31</v>
      </c>
      <c r="B79" s="27" t="s">
        <v>15</v>
      </c>
      <c r="C79" s="6" t="s">
        <v>52</v>
      </c>
      <c r="D79" s="6" t="s">
        <v>64</v>
      </c>
      <c r="E79" s="7">
        <v>70958</v>
      </c>
      <c r="F79" s="7" t="s">
        <v>47</v>
      </c>
      <c r="G79" s="7" t="s">
        <v>54</v>
      </c>
      <c r="H79" s="7" t="s">
        <v>35</v>
      </c>
      <c r="I79" s="5">
        <v>44601</v>
      </c>
      <c r="J79" s="7">
        <v>16</v>
      </c>
      <c r="K79" s="7" t="str">
        <f>CONCATENATE(D79,"_F",G79,"_BIM_",B79)</f>
        <v>TN_C0A_F2B_BIM_III</v>
      </c>
      <c r="L79" s="8">
        <v>7.169999999999999</v>
      </c>
      <c r="M79" s="8">
        <v>7.35</v>
      </c>
      <c r="N79" s="8">
        <v>7.5499999999999989</v>
      </c>
      <c r="O79" s="8">
        <v>7.76</v>
      </c>
      <c r="P79" s="8">
        <v>6.9000000000000012</v>
      </c>
      <c r="Q79" s="8">
        <v>7.26</v>
      </c>
      <c r="R79" s="8">
        <v>7.12</v>
      </c>
      <c r="S79" s="8">
        <v>6.28</v>
      </c>
      <c r="T79" s="8">
        <v>68.458999999999989</v>
      </c>
    </row>
    <row r="80" spans="1:20" x14ac:dyDescent="0.3">
      <c r="A80" s="32" t="s">
        <v>31</v>
      </c>
      <c r="B80" s="27" t="s">
        <v>15</v>
      </c>
      <c r="C80" s="6" t="s">
        <v>52</v>
      </c>
      <c r="D80" s="6" t="s">
        <v>72</v>
      </c>
      <c r="E80" s="7">
        <v>95101</v>
      </c>
      <c r="F80" s="7" t="s">
        <v>47</v>
      </c>
      <c r="G80" s="7" t="s">
        <v>39</v>
      </c>
      <c r="H80" s="7" t="s">
        <v>36</v>
      </c>
      <c r="I80" s="5">
        <v>44601</v>
      </c>
      <c r="J80" s="7">
        <v>16</v>
      </c>
      <c r="K80" s="7" t="str">
        <f>CONCATENATE(D80,"_F",G80,"_BIM_",B80)</f>
        <v>TN_C0G_F2A_BIM_III</v>
      </c>
      <c r="L80" s="8">
        <v>7.3599999999999994</v>
      </c>
      <c r="M80" s="8">
        <v>7.68</v>
      </c>
      <c r="N80" s="8">
        <v>6.85</v>
      </c>
      <c r="O80" s="8">
        <v>5.8</v>
      </c>
      <c r="P80" s="8">
        <v>7.2900000000000009</v>
      </c>
      <c r="Q80" s="8">
        <v>7.0900000000000007</v>
      </c>
      <c r="R80" s="8">
        <v>7.51</v>
      </c>
      <c r="S80" s="8">
        <v>7.5400000000000009</v>
      </c>
      <c r="T80" s="8">
        <v>68.203999999999994</v>
      </c>
    </row>
    <row r="81" spans="1:20" x14ac:dyDescent="0.3">
      <c r="A81" s="32" t="s">
        <v>31</v>
      </c>
      <c r="B81" s="27" t="s">
        <v>15</v>
      </c>
      <c r="C81" s="6" t="s">
        <v>52</v>
      </c>
      <c r="D81" s="6" t="s">
        <v>75</v>
      </c>
      <c r="E81" s="7">
        <v>5153</v>
      </c>
      <c r="F81" s="7" t="s">
        <v>49</v>
      </c>
      <c r="G81" s="7" t="s">
        <v>41</v>
      </c>
      <c r="H81" s="7" t="s">
        <v>37</v>
      </c>
      <c r="I81" s="5">
        <v>44601</v>
      </c>
      <c r="J81" s="7">
        <v>16</v>
      </c>
      <c r="K81" s="7" t="str">
        <f>CONCATENATE(D81,"_F",G81,"_BIM_",B81)</f>
        <v>TN_C0L_F1B_BIM_III</v>
      </c>
      <c r="L81" s="8">
        <v>6.9399999999999995</v>
      </c>
      <c r="M81" s="8">
        <v>5.33</v>
      </c>
      <c r="N81" s="8">
        <v>7.2900000000000009</v>
      </c>
      <c r="O81" s="8">
        <v>5.68</v>
      </c>
      <c r="P81" s="8">
        <v>6.0299999999999994</v>
      </c>
      <c r="Q81" s="8">
        <v>5.83</v>
      </c>
      <c r="R81" s="8">
        <v>5.97</v>
      </c>
      <c r="S81" s="8">
        <v>6.2999999999999989</v>
      </c>
      <c r="T81" s="8">
        <v>58.756</v>
      </c>
    </row>
    <row r="82" spans="1:20" x14ac:dyDescent="0.3">
      <c r="A82" s="32" t="s">
        <v>31</v>
      </c>
      <c r="B82" s="27" t="s">
        <v>15</v>
      </c>
      <c r="C82" s="6" t="s">
        <v>52</v>
      </c>
      <c r="D82" s="6" t="s">
        <v>77</v>
      </c>
      <c r="E82" s="7">
        <v>19298</v>
      </c>
      <c r="F82" s="7" t="s">
        <v>49</v>
      </c>
      <c r="G82" s="7" t="s">
        <v>39</v>
      </c>
      <c r="H82" s="7" t="s">
        <v>38</v>
      </c>
      <c r="I82" s="5">
        <v>44601</v>
      </c>
      <c r="J82" s="7">
        <v>16</v>
      </c>
      <c r="K82" s="7" t="str">
        <f>CONCATENATE(D82,"_F",G82,"_BIM_",B82)</f>
        <v>TN_C0O_F2A_BIM_III</v>
      </c>
      <c r="L82" s="8">
        <v>7.5500000000000016</v>
      </c>
      <c r="M82" s="8">
        <v>6.33</v>
      </c>
      <c r="N82" s="8">
        <v>6.1599999999999993</v>
      </c>
      <c r="O82" s="8">
        <v>7.87</v>
      </c>
      <c r="P82" s="8">
        <v>7.55</v>
      </c>
      <c r="Q82" s="8">
        <v>6.7600000000000007</v>
      </c>
      <c r="R82" s="8">
        <v>7.3599999999999994</v>
      </c>
      <c r="S82" s="8">
        <v>6.6399999999999988</v>
      </c>
      <c r="T82" s="8">
        <v>66.212999999999994</v>
      </c>
    </row>
    <row r="83" spans="1:20" x14ac:dyDescent="0.3">
      <c r="A83" s="32" t="s">
        <v>31</v>
      </c>
      <c r="B83" s="27" t="s">
        <v>15</v>
      </c>
      <c r="C83" s="6" t="s">
        <v>52</v>
      </c>
      <c r="D83" s="6" t="s">
        <v>79</v>
      </c>
      <c r="E83" s="7">
        <v>29410</v>
      </c>
      <c r="F83" s="7" t="s">
        <v>49</v>
      </c>
      <c r="G83" s="7" t="s">
        <v>43</v>
      </c>
      <c r="H83" s="7" t="s">
        <v>42</v>
      </c>
      <c r="I83" s="5">
        <v>44601</v>
      </c>
      <c r="J83" s="7">
        <v>16</v>
      </c>
      <c r="K83" s="7" t="str">
        <f>CONCATENATE(D83,"_F",G83,"_BIM_",B83)</f>
        <v>TN_C0Q_F3A_BIM_III</v>
      </c>
      <c r="L83" s="8">
        <v>7.12</v>
      </c>
      <c r="M83" s="8">
        <v>6.81</v>
      </c>
      <c r="N83" s="8">
        <v>7.660000000000001</v>
      </c>
      <c r="O83" s="8">
        <v>6.17</v>
      </c>
      <c r="P83" s="8">
        <v>7.1099999999999994</v>
      </c>
      <c r="Q83" s="8">
        <v>6.69</v>
      </c>
      <c r="R83" s="8">
        <v>6.69</v>
      </c>
      <c r="S83" s="8">
        <v>6.94</v>
      </c>
      <c r="T83" s="8">
        <v>66.109000000000009</v>
      </c>
    </row>
    <row r="84" spans="1:20" x14ac:dyDescent="0.3">
      <c r="A84" s="32" t="s">
        <v>31</v>
      </c>
      <c r="B84" s="27" t="s">
        <v>15</v>
      </c>
      <c r="C84" s="6" t="s">
        <v>52</v>
      </c>
      <c r="D84" s="6" t="s">
        <v>80</v>
      </c>
      <c r="E84" s="7">
        <v>30524</v>
      </c>
      <c r="F84" s="7" t="s">
        <v>49</v>
      </c>
      <c r="G84" s="7" t="s">
        <v>34</v>
      </c>
      <c r="H84" s="7" t="s">
        <v>44</v>
      </c>
      <c r="I84" s="5">
        <v>44608</v>
      </c>
      <c r="J84" s="7">
        <v>16</v>
      </c>
      <c r="K84" s="7" t="str">
        <f>CONCATENATE(D84,"_F",G84,"_BIM_",B84)</f>
        <v>TN_C0R_F1A_BIM_III</v>
      </c>
      <c r="L84" s="8">
        <v>6.74</v>
      </c>
      <c r="M84" s="8">
        <v>5.8800000000000008</v>
      </c>
      <c r="N84" s="8">
        <v>7.3400000000000007</v>
      </c>
      <c r="O84" s="8">
        <v>6.17</v>
      </c>
      <c r="P84" s="8">
        <v>7.2</v>
      </c>
      <c r="Q84" s="8">
        <v>7.2</v>
      </c>
      <c r="R84" s="8">
        <v>7.0699999999999985</v>
      </c>
      <c r="S84" s="8">
        <v>6.33</v>
      </c>
      <c r="T84" s="8">
        <v>65.768000000000001</v>
      </c>
    </row>
    <row r="85" spans="1:20" x14ac:dyDescent="0.3">
      <c r="A85" s="32" t="s">
        <v>31</v>
      </c>
      <c r="B85" s="27" t="s">
        <v>15</v>
      </c>
      <c r="C85" s="6" t="s">
        <v>52</v>
      </c>
      <c r="D85" s="6" t="s">
        <v>64</v>
      </c>
      <c r="E85" s="7">
        <v>70781</v>
      </c>
      <c r="F85" s="7" t="s">
        <v>47</v>
      </c>
      <c r="G85" s="7" t="s">
        <v>43</v>
      </c>
      <c r="H85" s="7" t="s">
        <v>35</v>
      </c>
      <c r="I85" s="5">
        <v>44608</v>
      </c>
      <c r="J85" s="7">
        <v>17</v>
      </c>
      <c r="K85" s="7" t="str">
        <f>CONCATENATE(D85,"_F",G85,"_BIM_",B85)</f>
        <v>TN_C0A_F3A_BIM_III</v>
      </c>
      <c r="L85" s="8">
        <v>7.1</v>
      </c>
      <c r="M85" s="8">
        <v>5.9250000000000007</v>
      </c>
      <c r="N85" s="8">
        <v>6.875</v>
      </c>
      <c r="O85" s="8">
        <v>6.0374999999999996</v>
      </c>
      <c r="P85" s="8">
        <v>7.3874999999999993</v>
      </c>
      <c r="Q85" s="8">
        <v>7.1499999999999995</v>
      </c>
      <c r="R85" s="8">
        <v>6.8374999999999995</v>
      </c>
      <c r="S85" s="8">
        <v>6.0625</v>
      </c>
      <c r="T85" s="8">
        <v>64.86375000000001</v>
      </c>
    </row>
    <row r="86" spans="1:20" x14ac:dyDescent="0.3">
      <c r="A86" s="32" t="s">
        <v>31</v>
      </c>
      <c r="B86" s="27" t="s">
        <v>15</v>
      </c>
      <c r="C86" s="6" t="s">
        <v>52</v>
      </c>
      <c r="D86" s="6" t="s">
        <v>67</v>
      </c>
      <c r="E86" s="7">
        <v>79244</v>
      </c>
      <c r="F86" s="7" t="s">
        <v>47</v>
      </c>
      <c r="G86" s="7" t="s">
        <v>39</v>
      </c>
      <c r="H86" s="7" t="s">
        <v>36</v>
      </c>
      <c r="I86" s="5">
        <v>44608</v>
      </c>
      <c r="J86" s="7">
        <v>17</v>
      </c>
      <c r="K86" s="7" t="str">
        <f>CONCATENATE(D86,"_F",G86,"_BIM_",B86)</f>
        <v>TN_C0C_F2A_BIM_III</v>
      </c>
      <c r="L86" s="8">
        <v>7.2625000000000011</v>
      </c>
      <c r="M86" s="8">
        <v>6.2125000000000004</v>
      </c>
      <c r="N86" s="8">
        <v>6.875</v>
      </c>
      <c r="O86" s="8">
        <v>7.0125000000000011</v>
      </c>
      <c r="P86" s="8">
        <v>7.2875000000000005</v>
      </c>
      <c r="Q86" s="8">
        <v>6.6875</v>
      </c>
      <c r="R86" s="8">
        <v>6.9749999999999996</v>
      </c>
      <c r="S86" s="8">
        <v>6.4249999999999998</v>
      </c>
      <c r="T86" s="8">
        <v>65.292500000000004</v>
      </c>
    </row>
    <row r="87" spans="1:20" x14ac:dyDescent="0.3">
      <c r="A87" s="32" t="s">
        <v>31</v>
      </c>
      <c r="B87" s="27" t="s">
        <v>15</v>
      </c>
      <c r="C87" s="6" t="s">
        <v>52</v>
      </c>
      <c r="D87" s="6" t="s">
        <v>72</v>
      </c>
      <c r="E87" s="7">
        <v>95265</v>
      </c>
      <c r="F87" s="7" t="s">
        <v>47</v>
      </c>
      <c r="G87" s="7" t="s">
        <v>55</v>
      </c>
      <c r="H87" s="7" t="s">
        <v>37</v>
      </c>
      <c r="I87" s="5">
        <v>44608</v>
      </c>
      <c r="J87" s="7">
        <v>17</v>
      </c>
      <c r="K87" s="7" t="str">
        <f>CONCATENATE(D87,"_F",G87,"_BIM_",B87)</f>
        <v>TN_C0G_F3B_BIM_III</v>
      </c>
      <c r="L87" s="8">
        <v>7.3875000000000002</v>
      </c>
      <c r="M87" s="8">
        <v>8.0124999999999993</v>
      </c>
      <c r="N87" s="8">
        <v>7.4</v>
      </c>
      <c r="O87" s="8">
        <v>6.5750000000000002</v>
      </c>
      <c r="P87" s="8">
        <v>7.1999999999999993</v>
      </c>
      <c r="Q87" s="8">
        <v>7.2625000000000002</v>
      </c>
      <c r="R87" s="8">
        <v>7.5</v>
      </c>
      <c r="S87" s="8">
        <v>7.45</v>
      </c>
      <c r="T87" s="8">
        <v>70.031249999999986</v>
      </c>
    </row>
    <row r="88" spans="1:20" x14ac:dyDescent="0.3">
      <c r="A88" s="32" t="s">
        <v>31</v>
      </c>
      <c r="B88" s="27" t="s">
        <v>15</v>
      </c>
      <c r="C88" s="6" t="s">
        <v>52</v>
      </c>
      <c r="D88" s="6" t="s">
        <v>74</v>
      </c>
      <c r="E88" s="7">
        <v>2822</v>
      </c>
      <c r="F88" s="7" t="s">
        <v>49</v>
      </c>
      <c r="G88" s="7" t="s">
        <v>43</v>
      </c>
      <c r="H88" s="7" t="s">
        <v>38</v>
      </c>
      <c r="I88" s="5">
        <v>44608</v>
      </c>
      <c r="J88" s="7">
        <v>17</v>
      </c>
      <c r="K88" s="7" t="str">
        <f>CONCATENATE(D88,"_F",G88,"_BIM_",B88)</f>
        <v>TN_C0I_F3A_BIM_III</v>
      </c>
      <c r="L88" s="8">
        <v>7.2749999999999995</v>
      </c>
      <c r="M88" s="8">
        <v>6.6874999999999991</v>
      </c>
      <c r="N88" s="8">
        <v>7.5</v>
      </c>
      <c r="O88" s="8">
        <v>5.6875</v>
      </c>
      <c r="P88" s="8">
        <v>7.4749999999999988</v>
      </c>
      <c r="Q88" s="8">
        <v>6.8374999999999995</v>
      </c>
      <c r="R88" s="8">
        <v>7.1375000000000002</v>
      </c>
      <c r="S88" s="8">
        <v>7.4249999999999998</v>
      </c>
      <c r="T88" s="8">
        <v>67.392499999999998</v>
      </c>
    </row>
    <row r="89" spans="1:20" x14ac:dyDescent="0.3">
      <c r="A89" s="32" t="s">
        <v>31</v>
      </c>
      <c r="B89" s="27" t="s">
        <v>15</v>
      </c>
      <c r="C89" s="6" t="s">
        <v>52</v>
      </c>
      <c r="D89" s="6" t="s">
        <v>76</v>
      </c>
      <c r="E89" s="7">
        <v>14357</v>
      </c>
      <c r="F89" s="7" t="s">
        <v>49</v>
      </c>
      <c r="G89" s="7" t="s">
        <v>43</v>
      </c>
      <c r="H89" s="7" t="s">
        <v>42</v>
      </c>
      <c r="I89" s="5">
        <v>44608</v>
      </c>
      <c r="J89" s="7">
        <v>17</v>
      </c>
      <c r="K89" s="7" t="str">
        <f>CONCATENATE(D89,"_F",G89,"_BIM_",B89)</f>
        <v>TN_C0M_F3A_BIM_III</v>
      </c>
      <c r="L89" s="8">
        <v>7.25</v>
      </c>
      <c r="M89" s="8">
        <v>5.1875</v>
      </c>
      <c r="N89" s="8">
        <v>6.6374999999999993</v>
      </c>
      <c r="O89" s="8">
        <v>7.7124999999999995</v>
      </c>
      <c r="P89" s="8">
        <v>7.1875</v>
      </c>
      <c r="Q89" s="8">
        <v>6.5874999999999995</v>
      </c>
      <c r="R89" s="8">
        <v>7.4624999999999995</v>
      </c>
      <c r="S89" s="8">
        <v>7.3</v>
      </c>
      <c r="T89" s="8">
        <v>65.202500000000001</v>
      </c>
    </row>
    <row r="90" spans="1:20" x14ac:dyDescent="0.3">
      <c r="A90" s="32" t="s">
        <v>31</v>
      </c>
      <c r="B90" s="27" t="s">
        <v>15</v>
      </c>
      <c r="C90" s="6" t="s">
        <v>52</v>
      </c>
      <c r="D90" s="6" t="s">
        <v>78</v>
      </c>
      <c r="E90" s="7">
        <v>24043</v>
      </c>
      <c r="F90" s="7" t="s">
        <v>49</v>
      </c>
      <c r="G90" s="7" t="s">
        <v>43</v>
      </c>
      <c r="H90" s="7" t="s">
        <v>44</v>
      </c>
      <c r="I90" s="5">
        <v>44608</v>
      </c>
      <c r="J90" s="7">
        <v>17</v>
      </c>
      <c r="K90" s="7" t="str">
        <f>CONCATENATE(D90,"_F",G90,"_BIM_",B90)</f>
        <v>TN_C0P_F3A_BIM_III</v>
      </c>
      <c r="L90" s="8">
        <v>6.4375000000000009</v>
      </c>
      <c r="M90" s="8">
        <v>6.7875000000000005</v>
      </c>
      <c r="N90" s="8">
        <v>5.4749999999999996</v>
      </c>
      <c r="O90" s="8">
        <v>7.5749999999999993</v>
      </c>
      <c r="P90" s="8">
        <v>5.5875000000000004</v>
      </c>
      <c r="Q90" s="8">
        <v>7.1624999999999996</v>
      </c>
      <c r="R90" s="8">
        <v>6.2874999999999996</v>
      </c>
      <c r="S90" s="8">
        <v>5.7</v>
      </c>
      <c r="T90" s="8">
        <v>59.716249999999995</v>
      </c>
    </row>
    <row r="91" spans="1:20" x14ac:dyDescent="0.3">
      <c r="A91" s="32" t="s">
        <v>31</v>
      </c>
      <c r="B91" s="27" t="s">
        <v>16</v>
      </c>
      <c r="C91" s="6" t="s">
        <v>56</v>
      </c>
      <c r="D91" s="6" t="s">
        <v>66</v>
      </c>
      <c r="E91" s="7">
        <v>73817</v>
      </c>
      <c r="F91" s="7" t="s">
        <v>47</v>
      </c>
      <c r="G91" s="7" t="s">
        <v>34</v>
      </c>
      <c r="H91" s="7" t="s">
        <v>35</v>
      </c>
      <c r="I91" s="5">
        <v>44622</v>
      </c>
      <c r="J91" s="7">
        <v>18</v>
      </c>
      <c r="K91" s="7" t="str">
        <f>CONCATENATE(D91,"_F",G91,"_BIM_",B91)</f>
        <v>TN_C0B_F1A_BIM_IV</v>
      </c>
      <c r="L91" s="8">
        <v>7.1124999999999998</v>
      </c>
      <c r="M91" s="8">
        <v>5.5875000000000004</v>
      </c>
      <c r="N91" s="8">
        <v>5.6000000000000005</v>
      </c>
      <c r="O91" s="8">
        <v>6.875</v>
      </c>
      <c r="P91" s="8">
        <v>6.75</v>
      </c>
      <c r="Q91" s="8">
        <v>6.625</v>
      </c>
      <c r="R91" s="8">
        <v>6.6875</v>
      </c>
      <c r="S91" s="8">
        <v>6.1624999999999996</v>
      </c>
      <c r="T91" s="8">
        <v>60.687499999999993</v>
      </c>
    </row>
    <row r="92" spans="1:20" x14ac:dyDescent="0.3">
      <c r="A92" s="32" t="s">
        <v>31</v>
      </c>
      <c r="B92" s="27" t="s">
        <v>16</v>
      </c>
      <c r="C92" s="6" t="s">
        <v>56</v>
      </c>
      <c r="D92" s="6" t="s">
        <v>69</v>
      </c>
      <c r="E92" s="7">
        <v>5097</v>
      </c>
      <c r="F92" s="7" t="s">
        <v>57</v>
      </c>
      <c r="G92" s="7" t="s">
        <v>34</v>
      </c>
      <c r="H92" s="7" t="s">
        <v>36</v>
      </c>
      <c r="I92" s="5">
        <v>44622</v>
      </c>
      <c r="J92" s="7">
        <v>18</v>
      </c>
      <c r="K92" s="7" t="str">
        <f>CONCATENATE(D92,"_F",G92,"_BIM_",B92)</f>
        <v>TN_C0E_F1A_BIM_IV</v>
      </c>
      <c r="L92" s="8">
        <v>7.5500000000000007</v>
      </c>
      <c r="M92" s="8">
        <v>7.6624999999999996</v>
      </c>
      <c r="N92" s="8">
        <v>7.4750000000000005</v>
      </c>
      <c r="O92" s="8">
        <v>6.4124999999999996</v>
      </c>
      <c r="P92" s="8">
        <v>7.05</v>
      </c>
      <c r="Q92" s="8">
        <v>6.4</v>
      </c>
      <c r="R92" s="8">
        <v>6.8125</v>
      </c>
      <c r="S92" s="8">
        <v>6.1875</v>
      </c>
      <c r="T92" s="8">
        <v>66.287499999999994</v>
      </c>
    </row>
    <row r="93" spans="1:20" x14ac:dyDescent="0.3">
      <c r="A93" s="32" t="s">
        <v>31</v>
      </c>
      <c r="B93" s="27" t="s">
        <v>16</v>
      </c>
      <c r="C93" s="6" t="s">
        <v>56</v>
      </c>
      <c r="D93" s="6" t="s">
        <v>74</v>
      </c>
      <c r="E93" s="7">
        <v>77398</v>
      </c>
      <c r="F93" s="7" t="s">
        <v>58</v>
      </c>
      <c r="G93" s="7" t="s">
        <v>34</v>
      </c>
      <c r="H93" s="7" t="s">
        <v>37</v>
      </c>
      <c r="I93" s="5">
        <v>44622</v>
      </c>
      <c r="J93" s="7">
        <v>18</v>
      </c>
      <c r="K93" s="7" t="str">
        <f>CONCATENATE(D93,"_F",G93,"_BIM_",B93)</f>
        <v>TN_C0I_F1A_BIM_IV</v>
      </c>
      <c r="L93" s="8">
        <v>6.3125</v>
      </c>
      <c r="M93" s="8">
        <v>8.4375</v>
      </c>
      <c r="N93" s="8">
        <v>7.9624999999999995</v>
      </c>
      <c r="O93" s="8">
        <v>7.9375</v>
      </c>
      <c r="P93" s="8">
        <v>7.0374999999999996</v>
      </c>
      <c r="Q93" s="8">
        <v>6.1125000000000007</v>
      </c>
      <c r="R93" s="8">
        <v>6.5124999999999993</v>
      </c>
      <c r="S93" s="8">
        <v>7.1</v>
      </c>
      <c r="T93" s="8">
        <v>67.5</v>
      </c>
    </row>
    <row r="94" spans="1:20" x14ac:dyDescent="0.3">
      <c r="A94" s="32" t="s">
        <v>31</v>
      </c>
      <c r="B94" s="27" t="s">
        <v>16</v>
      </c>
      <c r="C94" s="6" t="s">
        <v>56</v>
      </c>
      <c r="D94" s="6" t="s">
        <v>76</v>
      </c>
      <c r="E94" s="7">
        <v>11430</v>
      </c>
      <c r="F94" s="7" t="s">
        <v>57</v>
      </c>
      <c r="G94" s="7" t="s">
        <v>34</v>
      </c>
      <c r="H94" s="7" t="s">
        <v>38</v>
      </c>
      <c r="I94" s="5">
        <v>44622</v>
      </c>
      <c r="J94" s="7">
        <v>18</v>
      </c>
      <c r="K94" s="7" t="str">
        <f>CONCATENATE(D94,"_F",G94,"_BIM_",B94)</f>
        <v>TN_C0M_F1A_BIM_IV</v>
      </c>
      <c r="L94" s="8">
        <v>7.375</v>
      </c>
      <c r="M94" s="8">
        <v>5.5625</v>
      </c>
      <c r="N94" s="8">
        <v>6.9625000000000004</v>
      </c>
      <c r="O94" s="8">
        <v>6.2874999999999996</v>
      </c>
      <c r="P94" s="8">
        <v>7.2750000000000004</v>
      </c>
      <c r="Q94" s="8">
        <v>7.2750000000000004</v>
      </c>
      <c r="R94" s="8">
        <v>7.3874999999999993</v>
      </c>
      <c r="S94" s="8">
        <v>5.9999999999999991</v>
      </c>
      <c r="T94" s="8">
        <v>65.89</v>
      </c>
    </row>
    <row r="95" spans="1:20" x14ac:dyDescent="0.3">
      <c r="A95" s="32" t="s">
        <v>31</v>
      </c>
      <c r="B95" s="27" t="s">
        <v>16</v>
      </c>
      <c r="C95" s="6" t="s">
        <v>56</v>
      </c>
      <c r="D95" s="6" t="s">
        <v>76</v>
      </c>
      <c r="E95" s="7">
        <v>15735</v>
      </c>
      <c r="F95" s="7" t="s">
        <v>49</v>
      </c>
      <c r="G95" s="7" t="s">
        <v>34</v>
      </c>
      <c r="H95" s="7" t="s">
        <v>42</v>
      </c>
      <c r="I95" s="5">
        <v>44622</v>
      </c>
      <c r="J95" s="7">
        <v>18</v>
      </c>
      <c r="K95" s="7" t="str">
        <f>CONCATENATE(D95,"_F",G95,"_BIM_",B95)</f>
        <v>TN_C0M_F1A_BIM_IV</v>
      </c>
      <c r="L95" s="8">
        <v>6.7625000000000002</v>
      </c>
      <c r="M95" s="8">
        <v>6.7375000000000007</v>
      </c>
      <c r="N95" s="8">
        <v>7.3875000000000002</v>
      </c>
      <c r="O95" s="8">
        <v>6.0874999999999995</v>
      </c>
      <c r="P95" s="8">
        <v>7.3</v>
      </c>
      <c r="Q95" s="8">
        <v>6.6624999999999996</v>
      </c>
      <c r="R95" s="8">
        <v>6.7999999999999989</v>
      </c>
      <c r="S95" s="8">
        <v>6.5</v>
      </c>
      <c r="T95" s="8">
        <v>65.552500000000009</v>
      </c>
    </row>
    <row r="96" spans="1:20" x14ac:dyDescent="0.3">
      <c r="A96" s="32" t="s">
        <v>31</v>
      </c>
      <c r="B96" s="27" t="s">
        <v>16</v>
      </c>
      <c r="C96" s="6" t="s">
        <v>56</v>
      </c>
      <c r="D96" s="6" t="s">
        <v>78</v>
      </c>
      <c r="E96" s="7">
        <v>82430</v>
      </c>
      <c r="F96" s="7" t="s">
        <v>59</v>
      </c>
      <c r="G96" s="7" t="s">
        <v>34</v>
      </c>
      <c r="H96" s="7" t="s">
        <v>44</v>
      </c>
      <c r="I96" s="5">
        <v>44622</v>
      </c>
      <c r="J96" s="7">
        <v>18</v>
      </c>
      <c r="K96" s="7" t="str">
        <f>CONCATENATE(D96,"_F",G96,"_BIM_",B96)</f>
        <v>TN_C0P_F1A_BIM_IV</v>
      </c>
      <c r="L96" s="8">
        <v>6.6499999999999995</v>
      </c>
      <c r="M96" s="8">
        <v>7.25</v>
      </c>
      <c r="N96" s="8">
        <v>5.3875000000000002</v>
      </c>
      <c r="O96" s="8">
        <v>8.75</v>
      </c>
      <c r="P96" s="8">
        <v>6.6124999999999989</v>
      </c>
      <c r="Q96" s="8">
        <v>7.0374999999999996</v>
      </c>
      <c r="R96" s="8">
        <v>7.0625</v>
      </c>
      <c r="S96" s="8">
        <v>6.75</v>
      </c>
      <c r="T96" s="8">
        <v>64.234999999999999</v>
      </c>
    </row>
    <row r="97" spans="1:20" x14ac:dyDescent="0.3">
      <c r="A97" s="32" t="s">
        <v>31</v>
      </c>
      <c r="B97" s="27" t="s">
        <v>16</v>
      </c>
      <c r="C97" s="6" t="s">
        <v>56</v>
      </c>
      <c r="D97" s="6" t="s">
        <v>67</v>
      </c>
      <c r="E97" s="7">
        <v>69027</v>
      </c>
      <c r="F97" s="7" t="s">
        <v>58</v>
      </c>
      <c r="G97" s="7" t="s">
        <v>34</v>
      </c>
      <c r="H97" s="7" t="s">
        <v>35</v>
      </c>
      <c r="I97" s="5">
        <v>44629</v>
      </c>
      <c r="J97" s="7">
        <v>19</v>
      </c>
      <c r="K97" s="7" t="str">
        <f>CONCATENATE(D97,"_F",G97,"_BIM_",B97)</f>
        <v>TN_C0C_F1A_BIM_IV</v>
      </c>
      <c r="L97" s="8">
        <v>7.2</v>
      </c>
      <c r="M97" s="8">
        <v>6.5749999999999993</v>
      </c>
      <c r="N97" s="8">
        <v>6.7750000000000004</v>
      </c>
      <c r="O97" s="8">
        <v>7.5375000000000014</v>
      </c>
      <c r="P97" s="8">
        <v>5.7125000000000004</v>
      </c>
      <c r="Q97" s="8">
        <v>5.9</v>
      </c>
      <c r="R97" s="8">
        <v>5.7750000000000004</v>
      </c>
      <c r="S97" s="8">
        <v>6.2625000000000002</v>
      </c>
      <c r="T97" s="8">
        <v>59.625000000000007</v>
      </c>
    </row>
    <row r="98" spans="1:20" x14ac:dyDescent="0.3">
      <c r="A98" s="32" t="s">
        <v>31</v>
      </c>
      <c r="B98" s="27" t="s">
        <v>16</v>
      </c>
      <c r="C98" s="6" t="s">
        <v>56</v>
      </c>
      <c r="D98" s="6" t="s">
        <v>68</v>
      </c>
      <c r="E98" s="7">
        <v>4826</v>
      </c>
      <c r="F98" s="7" t="s">
        <v>57</v>
      </c>
      <c r="G98" s="7" t="s">
        <v>34</v>
      </c>
      <c r="H98" s="7" t="s">
        <v>36</v>
      </c>
      <c r="I98" s="5">
        <v>44629</v>
      </c>
      <c r="J98" s="7">
        <v>19</v>
      </c>
      <c r="K98" s="7" t="str">
        <f>CONCATENATE(D98,"_F",G98,"_BIM_",B98)</f>
        <v>TN_C0D_F1A_BIM_IV</v>
      </c>
      <c r="L98" s="8">
        <v>6.1624999999999996</v>
      </c>
      <c r="M98" s="8">
        <v>7.3125</v>
      </c>
      <c r="N98" s="8">
        <v>6.3124999999999991</v>
      </c>
      <c r="O98" s="8">
        <v>7.4374999999999991</v>
      </c>
      <c r="P98" s="8">
        <v>6.6124999999999998</v>
      </c>
      <c r="Q98" s="8">
        <v>7.4</v>
      </c>
      <c r="R98" s="8">
        <v>7.0125000000000002</v>
      </c>
      <c r="S98" s="8">
        <v>7.1</v>
      </c>
      <c r="T98" s="8">
        <v>65.496249999999989</v>
      </c>
    </row>
    <row r="99" spans="1:20" x14ac:dyDescent="0.3">
      <c r="A99" s="32" t="s">
        <v>31</v>
      </c>
      <c r="B99" s="27" t="s">
        <v>16</v>
      </c>
      <c r="C99" s="6" t="s">
        <v>56</v>
      </c>
      <c r="D99" s="6" t="s">
        <v>72</v>
      </c>
      <c r="E99" s="7">
        <v>74027</v>
      </c>
      <c r="F99" s="7" t="s">
        <v>58</v>
      </c>
      <c r="G99" s="7" t="s">
        <v>34</v>
      </c>
      <c r="H99" s="7" t="s">
        <v>37</v>
      </c>
      <c r="I99" s="5">
        <v>44629</v>
      </c>
      <c r="J99" s="7">
        <v>19</v>
      </c>
      <c r="K99" s="7" t="str">
        <f>CONCATENATE(D99,"_F",G99,"_BIM_",B99)</f>
        <v>TN_C0G_F1A_BIM_IV</v>
      </c>
      <c r="L99" s="8">
        <v>6.9125000000000005</v>
      </c>
      <c r="M99" s="8">
        <v>8.0874999999999986</v>
      </c>
      <c r="N99" s="8">
        <v>7.2374999999999998</v>
      </c>
      <c r="O99" s="8">
        <v>7.3750000000000009</v>
      </c>
      <c r="P99" s="8">
        <v>7.2124999999999995</v>
      </c>
      <c r="Q99" s="8">
        <v>7.1124999999999998</v>
      </c>
      <c r="R99" s="8">
        <v>7.3374999999999995</v>
      </c>
      <c r="S99" s="8">
        <v>6.75</v>
      </c>
      <c r="T99" s="8">
        <v>69.164999999999992</v>
      </c>
    </row>
    <row r="100" spans="1:20" x14ac:dyDescent="0.3">
      <c r="A100" s="32" t="s">
        <v>31</v>
      </c>
      <c r="B100" s="27" t="s">
        <v>16</v>
      </c>
      <c r="C100" s="6" t="s">
        <v>56</v>
      </c>
      <c r="D100" s="6" t="s">
        <v>76</v>
      </c>
      <c r="E100" s="7">
        <v>15930</v>
      </c>
      <c r="F100" s="7" t="s">
        <v>49</v>
      </c>
      <c r="G100" s="7" t="s">
        <v>39</v>
      </c>
      <c r="H100" s="7" t="s">
        <v>38</v>
      </c>
      <c r="I100" s="5">
        <v>44629</v>
      </c>
      <c r="J100" s="7">
        <v>19</v>
      </c>
      <c r="K100" s="7" t="str">
        <f>CONCATENATE(D100,"_F",G100,"_BIM_",B100)</f>
        <v>TN_C0M_F2A_BIM_IV</v>
      </c>
      <c r="L100" s="8">
        <v>6.6625000000000005</v>
      </c>
      <c r="M100" s="8">
        <v>7.0375000000000005</v>
      </c>
      <c r="N100" s="8">
        <v>7.6499999999999995</v>
      </c>
      <c r="O100" s="8">
        <v>7.3375000000000004</v>
      </c>
      <c r="P100" s="8">
        <v>7.75</v>
      </c>
      <c r="Q100" s="8">
        <v>7.5374999999999996</v>
      </c>
      <c r="R100" s="8">
        <v>7.7625000000000002</v>
      </c>
      <c r="S100" s="8">
        <v>7.4375</v>
      </c>
      <c r="T100" s="8">
        <v>71.346249999999998</v>
      </c>
    </row>
    <row r="101" spans="1:20" x14ac:dyDescent="0.3">
      <c r="A101" s="32" t="s">
        <v>31</v>
      </c>
      <c r="B101" s="27" t="s">
        <v>16</v>
      </c>
      <c r="C101" s="6" t="s">
        <v>56</v>
      </c>
      <c r="D101" s="6" t="s">
        <v>77</v>
      </c>
      <c r="E101" s="7">
        <v>80706</v>
      </c>
      <c r="F101" s="7" t="s">
        <v>58</v>
      </c>
      <c r="G101" s="7" t="s">
        <v>41</v>
      </c>
      <c r="H101" s="7" t="s">
        <v>42</v>
      </c>
      <c r="I101" s="5">
        <v>44629</v>
      </c>
      <c r="J101" s="7">
        <v>19</v>
      </c>
      <c r="K101" s="7" t="str">
        <f>CONCATENATE(D101,"_F",G101,"_BIM_",B101)</f>
        <v>TN_C0O_F1B_BIM_IV</v>
      </c>
      <c r="L101" s="8">
        <v>7.7249999999999996</v>
      </c>
      <c r="M101" s="8">
        <v>7.9499999999999993</v>
      </c>
      <c r="N101" s="8">
        <v>6.2</v>
      </c>
      <c r="O101" s="8">
        <v>6.2374999999999998</v>
      </c>
      <c r="P101" s="8">
        <v>7.7</v>
      </c>
      <c r="Q101" s="8">
        <v>6.75</v>
      </c>
      <c r="R101" s="8">
        <v>7.3625000000000007</v>
      </c>
      <c r="S101" s="8">
        <v>6.9874999999999998</v>
      </c>
      <c r="T101" s="8">
        <v>67.442499999999995</v>
      </c>
    </row>
    <row r="102" spans="1:20" x14ac:dyDescent="0.3">
      <c r="A102" s="32" t="s">
        <v>31</v>
      </c>
      <c r="B102" s="27" t="s">
        <v>16</v>
      </c>
      <c r="C102" s="6" t="s">
        <v>56</v>
      </c>
      <c r="D102" s="6" t="s">
        <v>78</v>
      </c>
      <c r="E102" s="7">
        <v>82718</v>
      </c>
      <c r="F102" s="7" t="s">
        <v>59</v>
      </c>
      <c r="G102" s="7" t="s">
        <v>54</v>
      </c>
      <c r="H102" s="7" t="s">
        <v>44</v>
      </c>
      <c r="I102" s="5">
        <v>44629</v>
      </c>
      <c r="J102" s="7">
        <v>19</v>
      </c>
      <c r="K102" s="7" t="str">
        <f>CONCATENATE(D102,"_F",G102,"_BIM_",B102)</f>
        <v>TN_C0P_F2B_BIM_IV</v>
      </c>
      <c r="L102" s="8">
        <v>6.2374999999999998</v>
      </c>
      <c r="M102" s="8">
        <v>5.6375000000000002</v>
      </c>
      <c r="N102" s="8">
        <v>5.3875000000000002</v>
      </c>
      <c r="O102" s="8">
        <v>8.4624999999999986</v>
      </c>
      <c r="P102" s="8">
        <v>6.15</v>
      </c>
      <c r="Q102" s="8">
        <v>7.3125</v>
      </c>
      <c r="R102" s="8">
        <v>6.65</v>
      </c>
      <c r="S102" s="8">
        <v>6.0749999999999993</v>
      </c>
      <c r="T102" s="8">
        <v>60.844999999999999</v>
      </c>
    </row>
    <row r="103" spans="1:20" x14ac:dyDescent="0.3">
      <c r="A103" s="32" t="s">
        <v>31</v>
      </c>
      <c r="B103" s="27" t="s">
        <v>16</v>
      </c>
      <c r="C103" s="6" t="s">
        <v>56</v>
      </c>
      <c r="D103" s="6" t="s">
        <v>64</v>
      </c>
      <c r="E103" s="7">
        <v>65742</v>
      </c>
      <c r="F103" s="7" t="s">
        <v>58</v>
      </c>
      <c r="G103" s="7" t="s">
        <v>41</v>
      </c>
      <c r="H103" s="7" t="s">
        <v>35</v>
      </c>
      <c r="I103" s="5">
        <v>44636</v>
      </c>
      <c r="J103" s="7">
        <v>20</v>
      </c>
      <c r="K103" s="7" t="str">
        <f>CONCATENATE(D103,"_F",G103,"_BIM_",B103)</f>
        <v>TN_C0A_F1B_BIM_IV</v>
      </c>
      <c r="L103" s="8">
        <v>6.96</v>
      </c>
      <c r="M103" s="8">
        <v>6.7</v>
      </c>
      <c r="N103" s="8">
        <v>6.93</v>
      </c>
      <c r="O103" s="8">
        <v>5.91</v>
      </c>
      <c r="P103" s="8">
        <v>6.64</v>
      </c>
      <c r="Q103" s="8">
        <v>6.5</v>
      </c>
      <c r="R103" s="8">
        <v>7.14</v>
      </c>
      <c r="S103" s="8">
        <v>6.39</v>
      </c>
      <c r="T103" s="8">
        <v>63.88</v>
      </c>
    </row>
    <row r="104" spans="1:20" x14ac:dyDescent="0.3">
      <c r="A104" s="32" t="s">
        <v>31</v>
      </c>
      <c r="B104" s="27" t="s">
        <v>16</v>
      </c>
      <c r="C104" s="6" t="s">
        <v>56</v>
      </c>
      <c r="D104" s="6" t="s">
        <v>67</v>
      </c>
      <c r="E104" s="7">
        <v>69427</v>
      </c>
      <c r="F104" s="7" t="s">
        <v>58</v>
      </c>
      <c r="G104" s="7" t="s">
        <v>39</v>
      </c>
      <c r="H104" s="7" t="s">
        <v>36</v>
      </c>
      <c r="I104" s="5">
        <v>44636</v>
      </c>
      <c r="J104" s="7">
        <v>20</v>
      </c>
      <c r="K104" s="7" t="str">
        <f>CONCATENATE(D104,"_F",G104,"_BIM_",B104)</f>
        <v>TN_C0C_F2A_BIM_IV</v>
      </c>
      <c r="L104" s="8">
        <v>6.79</v>
      </c>
      <c r="M104" s="8">
        <v>6.94</v>
      </c>
      <c r="N104" s="8">
        <v>6.54</v>
      </c>
      <c r="O104" s="8">
        <v>8.19</v>
      </c>
      <c r="P104" s="8">
        <v>6.53</v>
      </c>
      <c r="Q104" s="8">
        <v>5.59</v>
      </c>
      <c r="R104" s="8">
        <v>6.14</v>
      </c>
      <c r="S104" s="8">
        <v>7.04</v>
      </c>
      <c r="T104" s="8">
        <v>61.61</v>
      </c>
    </row>
    <row r="105" spans="1:20" x14ac:dyDescent="0.3">
      <c r="A105" s="32" t="s">
        <v>31</v>
      </c>
      <c r="B105" s="27" t="s">
        <v>16</v>
      </c>
      <c r="C105" s="6" t="s">
        <v>56</v>
      </c>
      <c r="D105" s="6" t="s">
        <v>73</v>
      </c>
      <c r="E105" s="7">
        <v>75305</v>
      </c>
      <c r="F105" s="7" t="s">
        <v>58</v>
      </c>
      <c r="G105" s="7" t="s">
        <v>34</v>
      </c>
      <c r="H105" s="7" t="s">
        <v>37</v>
      </c>
      <c r="I105" s="5">
        <v>44636</v>
      </c>
      <c r="J105" s="7">
        <v>20</v>
      </c>
      <c r="K105" s="7" t="str">
        <f>CONCATENATE(D105,"_F",G105,"_BIM_",B105)</f>
        <v>TN_C0H_F1A_BIM_IV</v>
      </c>
      <c r="L105" s="8">
        <v>6.19</v>
      </c>
      <c r="M105" s="8">
        <v>5.13</v>
      </c>
      <c r="N105" s="8">
        <v>6.66</v>
      </c>
      <c r="O105" s="8">
        <v>6.37</v>
      </c>
      <c r="P105" s="8">
        <v>7.27</v>
      </c>
      <c r="Q105" s="8">
        <v>6.54</v>
      </c>
      <c r="R105" s="8">
        <v>7.31</v>
      </c>
      <c r="S105" s="8">
        <v>6.39</v>
      </c>
      <c r="T105" s="8">
        <v>63.09</v>
      </c>
    </row>
    <row r="106" spans="1:20" x14ac:dyDescent="0.3">
      <c r="A106" s="32" t="s">
        <v>31</v>
      </c>
      <c r="B106" s="27" t="s">
        <v>16</v>
      </c>
      <c r="C106" s="6" t="s">
        <v>56</v>
      </c>
      <c r="D106" s="6" t="s">
        <v>75</v>
      </c>
      <c r="E106" s="7">
        <v>5695</v>
      </c>
      <c r="F106" s="7" t="s">
        <v>49</v>
      </c>
      <c r="G106" s="7" t="s">
        <v>34</v>
      </c>
      <c r="H106" s="7" t="s">
        <v>38</v>
      </c>
      <c r="I106" s="5">
        <v>44636</v>
      </c>
      <c r="J106" s="7">
        <v>20</v>
      </c>
      <c r="K106" s="7" t="str">
        <f>CONCATENATE(D106,"_F",G106,"_BIM_",B106)</f>
        <v>TN_C0L_F1A_BIM_IV</v>
      </c>
      <c r="L106" s="8">
        <v>6.2</v>
      </c>
      <c r="M106" s="8">
        <v>5.01</v>
      </c>
      <c r="N106" s="8">
        <v>7.29</v>
      </c>
      <c r="O106" s="8">
        <v>7.09</v>
      </c>
      <c r="P106" s="8">
        <v>6.87</v>
      </c>
      <c r="Q106" s="8">
        <v>6.31</v>
      </c>
      <c r="R106" s="8">
        <v>6.71</v>
      </c>
      <c r="S106" s="8">
        <v>6.2</v>
      </c>
      <c r="T106" s="8">
        <v>62.3</v>
      </c>
    </row>
    <row r="107" spans="1:20" x14ac:dyDescent="0.3">
      <c r="A107" s="32" t="s">
        <v>31</v>
      </c>
      <c r="B107" s="27" t="s">
        <v>16</v>
      </c>
      <c r="C107" s="6" t="s">
        <v>56</v>
      </c>
      <c r="D107" s="6" t="s">
        <v>76</v>
      </c>
      <c r="E107" s="7">
        <v>11634</v>
      </c>
      <c r="F107" s="7" t="s">
        <v>57</v>
      </c>
      <c r="G107" s="7" t="s">
        <v>39</v>
      </c>
      <c r="H107" s="7" t="s">
        <v>42</v>
      </c>
      <c r="I107" s="5">
        <v>44636</v>
      </c>
      <c r="J107" s="7">
        <v>20</v>
      </c>
      <c r="K107" s="7" t="str">
        <f>CONCATENATE(D107,"_F",G107,"_BIM_",B107)</f>
        <v>TN_C0M_F2A_BIM_IV</v>
      </c>
      <c r="L107" s="8">
        <v>6.43</v>
      </c>
      <c r="M107" s="8">
        <v>6.83</v>
      </c>
      <c r="N107" s="8">
        <v>7.27</v>
      </c>
      <c r="O107" s="8">
        <v>6.86</v>
      </c>
      <c r="P107" s="8">
        <v>7.43</v>
      </c>
      <c r="Q107" s="8">
        <v>7.01</v>
      </c>
      <c r="R107" s="8">
        <v>6.9</v>
      </c>
      <c r="S107" s="8">
        <v>6.21</v>
      </c>
      <c r="T107" s="8">
        <v>66.55</v>
      </c>
    </row>
    <row r="108" spans="1:20" x14ac:dyDescent="0.3">
      <c r="A108" s="32" t="s">
        <v>31</v>
      </c>
      <c r="B108" s="27" t="s">
        <v>16</v>
      </c>
      <c r="C108" s="6" t="s">
        <v>56</v>
      </c>
      <c r="D108" s="6" t="s">
        <v>79</v>
      </c>
      <c r="E108" s="7">
        <v>84955</v>
      </c>
      <c r="F108" s="7" t="s">
        <v>58</v>
      </c>
      <c r="G108" s="7" t="s">
        <v>34</v>
      </c>
      <c r="H108" s="7" t="s">
        <v>44</v>
      </c>
      <c r="I108" s="5">
        <v>44636</v>
      </c>
      <c r="J108" s="7">
        <v>20</v>
      </c>
      <c r="K108" s="7" t="str">
        <f>CONCATENATE(D108,"_F",G108,"_BIM_",B108)</f>
        <v>TN_C0Q_F1A_BIM_IV</v>
      </c>
      <c r="L108" s="8">
        <v>6.66</v>
      </c>
      <c r="M108" s="8">
        <v>7.63</v>
      </c>
      <c r="N108" s="8">
        <v>8.44</v>
      </c>
      <c r="O108" s="8">
        <v>5.16</v>
      </c>
      <c r="P108" s="8">
        <v>7.19</v>
      </c>
      <c r="Q108" s="8">
        <v>6.87</v>
      </c>
      <c r="R108" s="8">
        <v>6.9</v>
      </c>
      <c r="S108" s="8">
        <v>7.26</v>
      </c>
      <c r="T108" s="8">
        <v>68.33</v>
      </c>
    </row>
    <row r="109" spans="1:20" x14ac:dyDescent="0.3">
      <c r="A109" s="32" t="s">
        <v>31</v>
      </c>
      <c r="B109" s="27" t="s">
        <v>16</v>
      </c>
      <c r="C109" s="6" t="s">
        <v>56</v>
      </c>
      <c r="D109" s="6" t="s">
        <v>71</v>
      </c>
      <c r="E109" s="7">
        <v>90267</v>
      </c>
      <c r="F109" s="7" t="s">
        <v>47</v>
      </c>
      <c r="G109" s="7" t="s">
        <v>34</v>
      </c>
      <c r="H109" s="7" t="s">
        <v>35</v>
      </c>
      <c r="I109" s="5">
        <v>7.5857142857142863</v>
      </c>
      <c r="J109" s="7">
        <v>21</v>
      </c>
      <c r="K109" s="7" t="str">
        <f>CONCATENATE(D109,"_F",G109,"_BIM_",B109)</f>
        <v>TN_C0F_F1A_BIM_IV</v>
      </c>
      <c r="L109" s="9">
        <v>7.2285714285714286</v>
      </c>
      <c r="M109" s="9">
        <v>7.0857142857142863</v>
      </c>
      <c r="N109" s="9">
        <v>6.8142857142857149</v>
      </c>
      <c r="O109" s="9">
        <v>6.5857142857142863</v>
      </c>
      <c r="P109" s="9">
        <v>7.5857142857142863</v>
      </c>
      <c r="Q109" s="9">
        <v>6.9142857142857155</v>
      </c>
      <c r="R109" s="9">
        <v>7.3571428571428568</v>
      </c>
      <c r="S109" s="9">
        <v>7.0428571428571427</v>
      </c>
      <c r="T109" s="8">
        <v>67.637142857142862</v>
      </c>
    </row>
    <row r="110" spans="1:20" x14ac:dyDescent="0.3">
      <c r="A110" s="32" t="s">
        <v>31</v>
      </c>
      <c r="B110" s="27" t="s">
        <v>16</v>
      </c>
      <c r="C110" s="6" t="s">
        <v>56</v>
      </c>
      <c r="D110" s="6" t="s">
        <v>72</v>
      </c>
      <c r="E110" s="7">
        <v>96691</v>
      </c>
      <c r="F110" s="7" t="s">
        <v>47</v>
      </c>
      <c r="G110" s="7" t="s">
        <v>39</v>
      </c>
      <c r="H110" s="7" t="s">
        <v>36</v>
      </c>
      <c r="I110" s="5">
        <v>7.4714285714285724</v>
      </c>
      <c r="J110" s="7">
        <v>21</v>
      </c>
      <c r="K110" s="7" t="str">
        <f>CONCATENATE(D110,"_F",G110,"_BIM_",B110)</f>
        <v>TN_C0G_F2A_BIM_IV</v>
      </c>
      <c r="L110" s="9">
        <v>7.7142857142857144</v>
      </c>
      <c r="M110" s="9">
        <v>7.2285714285714278</v>
      </c>
      <c r="N110" s="9">
        <v>7.3428571428571434</v>
      </c>
      <c r="O110" s="9">
        <v>6.128571428571429</v>
      </c>
      <c r="P110" s="9">
        <v>7.4714285714285724</v>
      </c>
      <c r="Q110" s="9">
        <v>6.6285714285714281</v>
      </c>
      <c r="R110" s="9">
        <v>6.8285714285714283</v>
      </c>
      <c r="S110" s="9">
        <v>6.9857142857142867</v>
      </c>
      <c r="T110" s="8">
        <v>67.088571428571427</v>
      </c>
    </row>
    <row r="111" spans="1:20" x14ac:dyDescent="0.3">
      <c r="A111" s="32" t="s">
        <v>31</v>
      </c>
      <c r="B111" s="27" t="s">
        <v>16</v>
      </c>
      <c r="C111" s="6" t="s">
        <v>56</v>
      </c>
      <c r="D111" s="6" t="s">
        <v>74</v>
      </c>
      <c r="E111" s="7">
        <v>77233</v>
      </c>
      <c r="F111" s="7" t="s">
        <v>58</v>
      </c>
      <c r="G111" s="7" t="s">
        <v>39</v>
      </c>
      <c r="H111" s="7" t="s">
        <v>37</v>
      </c>
      <c r="I111" s="5">
        <v>7.2428571428571429</v>
      </c>
      <c r="J111" s="7">
        <v>21</v>
      </c>
      <c r="K111" s="7" t="str">
        <f>CONCATENATE(D111,"_F",G111,"_BIM_",B111)</f>
        <v>TN_C0I_F2A_BIM_IV</v>
      </c>
      <c r="L111" s="9">
        <v>7.4428571428571422</v>
      </c>
      <c r="M111" s="9">
        <v>8.6857142857142851</v>
      </c>
      <c r="N111" s="9">
        <v>8.4714285714285715</v>
      </c>
      <c r="O111" s="9">
        <v>6.7857142857142856</v>
      </c>
      <c r="P111" s="9">
        <v>7.2428571428571429</v>
      </c>
      <c r="Q111" s="9">
        <v>6.7857142857142856</v>
      </c>
      <c r="R111" s="9">
        <v>6.6428571428571441</v>
      </c>
      <c r="S111" s="9">
        <v>7.4</v>
      </c>
      <c r="T111" s="8">
        <v>70.465714285714284</v>
      </c>
    </row>
    <row r="112" spans="1:20" x14ac:dyDescent="0.3">
      <c r="A112" s="32" t="s">
        <v>31</v>
      </c>
      <c r="B112" s="27" t="s">
        <v>16</v>
      </c>
      <c r="C112" s="6" t="s">
        <v>56</v>
      </c>
      <c r="D112" s="6" t="s">
        <v>76</v>
      </c>
      <c r="E112" s="7">
        <v>16201</v>
      </c>
      <c r="F112" s="7" t="s">
        <v>49</v>
      </c>
      <c r="G112" s="7" t="s">
        <v>43</v>
      </c>
      <c r="H112" s="7" t="s">
        <v>38</v>
      </c>
      <c r="I112" s="5">
        <v>7.4857142857142858</v>
      </c>
      <c r="J112" s="7">
        <v>21</v>
      </c>
      <c r="K112" s="7" t="str">
        <f>CONCATENATE(D112,"_F",G112,"_BIM_",B112)</f>
        <v>TN_C0M_F3A_BIM_IV</v>
      </c>
      <c r="L112" s="9">
        <v>7.5857142857142872</v>
      </c>
      <c r="M112" s="9">
        <v>6.2285714285714286</v>
      </c>
      <c r="N112" s="9">
        <v>7.1</v>
      </c>
      <c r="O112" s="9">
        <v>6.5285714285714276</v>
      </c>
      <c r="P112" s="9">
        <v>7.4857142857142858</v>
      </c>
      <c r="Q112" s="9">
        <v>7.3</v>
      </c>
      <c r="R112" s="9">
        <v>7.1000000000000005</v>
      </c>
      <c r="S112" s="9">
        <v>6.7428571428571411</v>
      </c>
      <c r="T112" s="8">
        <v>67.344285714285718</v>
      </c>
    </row>
    <row r="113" spans="1:20" x14ac:dyDescent="0.3">
      <c r="A113" s="32" t="s">
        <v>31</v>
      </c>
      <c r="B113" s="27" t="s">
        <v>16</v>
      </c>
      <c r="C113" s="6" t="s">
        <v>56</v>
      </c>
      <c r="D113" s="6" t="s">
        <v>79</v>
      </c>
      <c r="E113" s="7">
        <v>85128</v>
      </c>
      <c r="F113" s="7" t="s">
        <v>58</v>
      </c>
      <c r="G113" s="7" t="s">
        <v>39</v>
      </c>
      <c r="H113" s="7" t="s">
        <v>42</v>
      </c>
      <c r="I113" s="5">
        <v>7.1857142857142842</v>
      </c>
      <c r="J113" s="7">
        <v>21</v>
      </c>
      <c r="K113" s="7" t="str">
        <f>CONCATENATE(D113,"_F",G113,"_BIM_",B113)</f>
        <v>TN_C0Q_F2A_BIM_IV</v>
      </c>
      <c r="L113" s="9">
        <v>6.0857142857142845</v>
      </c>
      <c r="M113" s="9">
        <v>6.7999999999999989</v>
      </c>
      <c r="N113" s="9">
        <v>7.6571428571428566</v>
      </c>
      <c r="O113" s="9">
        <v>5.2857142857142856</v>
      </c>
      <c r="P113" s="9">
        <v>7.1857142857142842</v>
      </c>
      <c r="Q113" s="9">
        <v>7.1857142857142859</v>
      </c>
      <c r="R113" s="9">
        <v>7.6714285714285708</v>
      </c>
      <c r="S113" s="9">
        <v>7.2285714285714286</v>
      </c>
      <c r="T113" s="8">
        <v>67.727142857142852</v>
      </c>
    </row>
    <row r="114" spans="1:20" x14ac:dyDescent="0.3">
      <c r="A114" s="32" t="s">
        <v>31</v>
      </c>
      <c r="B114" s="27" t="s">
        <v>16</v>
      </c>
      <c r="C114" s="6" t="s">
        <v>56</v>
      </c>
      <c r="D114" s="6" t="s">
        <v>80</v>
      </c>
      <c r="E114" s="7">
        <v>30983</v>
      </c>
      <c r="F114" s="7" t="s">
        <v>49</v>
      </c>
      <c r="G114" s="7" t="s">
        <v>34</v>
      </c>
      <c r="H114" s="7" t="s">
        <v>44</v>
      </c>
      <c r="I114" s="5">
        <v>7.0285714285714276</v>
      </c>
      <c r="J114" s="7">
        <v>21</v>
      </c>
      <c r="K114" s="7" t="str">
        <f>CONCATENATE(D114,"_F",G114,"_BIM_",B114)</f>
        <v>TN_C0R_F1A_BIM_IV</v>
      </c>
      <c r="L114" s="9">
        <v>7.1000000000000005</v>
      </c>
      <c r="M114" s="9">
        <v>7.7857142857142865</v>
      </c>
      <c r="N114" s="9">
        <v>7.5142857142857142</v>
      </c>
      <c r="O114" s="9">
        <v>6.8571428571428559</v>
      </c>
      <c r="P114" s="9">
        <v>7.0285714285714276</v>
      </c>
      <c r="Q114" s="9">
        <v>7.2000000000000011</v>
      </c>
      <c r="R114" s="9">
        <v>7.371428571428571</v>
      </c>
      <c r="S114" s="9">
        <v>6.7285714285714295</v>
      </c>
      <c r="T114" s="8">
        <v>69.018571428571434</v>
      </c>
    </row>
    <row r="115" spans="1:20" x14ac:dyDescent="0.3">
      <c r="A115" s="32" t="s">
        <v>31</v>
      </c>
      <c r="B115" s="27" t="s">
        <v>16</v>
      </c>
      <c r="C115" s="6" t="s">
        <v>56</v>
      </c>
      <c r="D115" s="6" t="s">
        <v>64</v>
      </c>
      <c r="E115" s="7">
        <v>65984</v>
      </c>
      <c r="F115" s="7" t="s">
        <v>58</v>
      </c>
      <c r="G115" s="7" t="s">
        <v>39</v>
      </c>
      <c r="H115" s="7" t="s">
        <v>35</v>
      </c>
      <c r="I115" s="5">
        <v>44650</v>
      </c>
      <c r="J115" s="7">
        <v>22</v>
      </c>
      <c r="K115" s="7" t="str">
        <f>CONCATENATE(D115,"_F",G115,"_BIM_",B115)</f>
        <v>TN_C0A_F2A_BIM_IV</v>
      </c>
      <c r="L115" s="8">
        <v>6.56</v>
      </c>
      <c r="M115" s="8">
        <v>7.65</v>
      </c>
      <c r="N115" s="8">
        <v>7.84</v>
      </c>
      <c r="O115" s="8">
        <v>6.17</v>
      </c>
      <c r="P115" s="8">
        <v>7.92</v>
      </c>
      <c r="Q115" s="8">
        <v>7.09</v>
      </c>
      <c r="R115" s="8">
        <v>7.4</v>
      </c>
      <c r="S115" s="8">
        <v>6.69</v>
      </c>
      <c r="T115" s="8">
        <v>70.057999999999993</v>
      </c>
    </row>
    <row r="116" spans="1:20" x14ac:dyDescent="0.3">
      <c r="A116" s="32" t="s">
        <v>31</v>
      </c>
      <c r="B116" s="27" t="s">
        <v>16</v>
      </c>
      <c r="C116" s="6" t="s">
        <v>56</v>
      </c>
      <c r="D116" s="6" t="s">
        <v>67</v>
      </c>
      <c r="E116" s="7">
        <v>69708</v>
      </c>
      <c r="F116" s="7" t="s">
        <v>58</v>
      </c>
      <c r="G116" s="7" t="s">
        <v>43</v>
      </c>
      <c r="H116" s="7" t="s">
        <v>36</v>
      </c>
      <c r="I116" s="5">
        <v>44650</v>
      </c>
      <c r="J116" s="7">
        <v>22</v>
      </c>
      <c r="K116" s="7" t="str">
        <f>CONCATENATE(D116,"_F",G116,"_BIM_",B116)</f>
        <v>TN_C0C_F3A_BIM_IV</v>
      </c>
      <c r="L116" s="8">
        <v>7.44</v>
      </c>
      <c r="M116" s="8">
        <v>6.27</v>
      </c>
      <c r="N116" s="8">
        <v>6.74</v>
      </c>
      <c r="O116" s="8">
        <v>5.76</v>
      </c>
      <c r="P116" s="8">
        <v>6.89</v>
      </c>
      <c r="Q116" s="8">
        <v>6.08</v>
      </c>
      <c r="R116" s="8">
        <v>6.28</v>
      </c>
      <c r="S116" s="8">
        <v>6.2</v>
      </c>
      <c r="T116" s="8">
        <v>61.472999999999999</v>
      </c>
    </row>
    <row r="117" spans="1:20" x14ac:dyDescent="0.3">
      <c r="A117" s="32" t="s">
        <v>31</v>
      </c>
      <c r="B117" s="27" t="s">
        <v>16</v>
      </c>
      <c r="C117" s="6" t="s">
        <v>56</v>
      </c>
      <c r="D117" s="6" t="s">
        <v>69</v>
      </c>
      <c r="E117" s="7">
        <v>87830</v>
      </c>
      <c r="F117" s="7" t="s">
        <v>47</v>
      </c>
      <c r="G117" s="7" t="s">
        <v>39</v>
      </c>
      <c r="H117" s="7" t="s">
        <v>37</v>
      </c>
      <c r="I117" s="5">
        <v>44650</v>
      </c>
      <c r="J117" s="7">
        <v>22</v>
      </c>
      <c r="K117" s="7" t="str">
        <f>CONCATENATE(D117,"_F",G117,"_BIM_",B117)</f>
        <v>TN_C0E_F2A_BIM_IV</v>
      </c>
      <c r="L117" s="8">
        <v>7.01</v>
      </c>
      <c r="M117" s="8">
        <v>6.88</v>
      </c>
      <c r="N117" s="8">
        <v>4.4800000000000004</v>
      </c>
      <c r="O117" s="8">
        <v>6.96</v>
      </c>
      <c r="P117" s="8">
        <v>7.31</v>
      </c>
      <c r="Q117" s="8">
        <v>6.28</v>
      </c>
      <c r="R117" s="8">
        <v>6.98</v>
      </c>
      <c r="S117" s="8">
        <v>6.19</v>
      </c>
      <c r="T117" s="8">
        <v>60.942</v>
      </c>
    </row>
    <row r="118" spans="1:20" x14ac:dyDescent="0.3">
      <c r="A118" s="32" t="s">
        <v>31</v>
      </c>
      <c r="B118" s="27" t="s">
        <v>16</v>
      </c>
      <c r="C118" s="6" t="s">
        <v>56</v>
      </c>
      <c r="D118" s="6" t="s">
        <v>79</v>
      </c>
      <c r="E118" s="7">
        <v>85319</v>
      </c>
      <c r="F118" s="7" t="s">
        <v>58</v>
      </c>
      <c r="G118" s="7" t="s">
        <v>43</v>
      </c>
      <c r="H118" s="7" t="s">
        <v>38</v>
      </c>
      <c r="I118" s="5">
        <v>44650</v>
      </c>
      <c r="J118" s="7">
        <v>22</v>
      </c>
      <c r="K118" s="7" t="str">
        <f>CONCATENATE(D118,"_F",G118,"_BIM_",B118)</f>
        <v>TN_C0Q_F3A_BIM_IV</v>
      </c>
      <c r="L118" s="8">
        <v>6.38</v>
      </c>
      <c r="M118" s="8">
        <v>7.74</v>
      </c>
      <c r="N118" s="8">
        <v>7.89</v>
      </c>
      <c r="O118" s="8">
        <v>5.8</v>
      </c>
      <c r="P118" s="8">
        <v>7.08</v>
      </c>
      <c r="Q118" s="8">
        <v>7.13</v>
      </c>
      <c r="R118" s="8">
        <v>7.31</v>
      </c>
      <c r="S118" s="8">
        <v>6.94</v>
      </c>
      <c r="T118" s="8">
        <v>68.514999999999986</v>
      </c>
    </row>
    <row r="119" spans="1:20" x14ac:dyDescent="0.3">
      <c r="A119" s="32" t="s">
        <v>31</v>
      </c>
      <c r="B119" s="27" t="s">
        <v>16</v>
      </c>
      <c r="C119" s="6" t="s">
        <v>56</v>
      </c>
      <c r="D119" s="6" t="s">
        <v>64</v>
      </c>
      <c r="E119" s="7">
        <v>66338</v>
      </c>
      <c r="F119" s="7" t="s">
        <v>58</v>
      </c>
      <c r="G119" s="7" t="s">
        <v>43</v>
      </c>
      <c r="H119" s="7" t="s">
        <v>35</v>
      </c>
      <c r="I119" s="5">
        <v>44657</v>
      </c>
      <c r="J119" s="7">
        <v>23</v>
      </c>
      <c r="K119" s="7" t="str">
        <f>CONCATENATE(D119,"_F",G119,"_BIM_",B119)</f>
        <v>TN_C0A_F3A_BIM_IV</v>
      </c>
      <c r="L119" s="8">
        <v>7.7600000000000007</v>
      </c>
      <c r="M119" s="8">
        <v>6.99</v>
      </c>
      <c r="N119" s="8">
        <v>7.660000000000001</v>
      </c>
      <c r="O119" s="8">
        <v>8.51</v>
      </c>
      <c r="P119" s="8">
        <v>6.4</v>
      </c>
      <c r="Q119" s="8">
        <v>6.07</v>
      </c>
      <c r="R119" s="8">
        <v>6.14</v>
      </c>
      <c r="S119" s="8">
        <v>6.6400000000000006</v>
      </c>
      <c r="T119" s="8">
        <v>64.730999999999995</v>
      </c>
    </row>
    <row r="120" spans="1:20" x14ac:dyDescent="0.3">
      <c r="A120" s="32" t="s">
        <v>31</v>
      </c>
      <c r="B120" s="27" t="s">
        <v>16</v>
      </c>
      <c r="C120" s="6" t="s">
        <v>56</v>
      </c>
      <c r="D120" s="6" t="s">
        <v>68</v>
      </c>
      <c r="E120" s="7">
        <v>4963</v>
      </c>
      <c r="F120" s="7" t="s">
        <v>57</v>
      </c>
      <c r="G120" s="7" t="s">
        <v>39</v>
      </c>
      <c r="H120" s="7" t="s">
        <v>36</v>
      </c>
      <c r="I120" s="5">
        <v>44657</v>
      </c>
      <c r="J120" s="7">
        <v>23</v>
      </c>
      <c r="K120" s="7" t="str">
        <f>CONCATENATE(D120,"_F",G120,"_BIM_",B120)</f>
        <v>TN_C0D_F2A_BIM_IV</v>
      </c>
      <c r="L120" s="8">
        <v>6.74</v>
      </c>
      <c r="M120" s="8">
        <v>7.43</v>
      </c>
      <c r="N120" s="8">
        <v>6.49</v>
      </c>
      <c r="O120" s="8">
        <v>7.5000000000000018</v>
      </c>
      <c r="P120" s="8">
        <v>6.6899999999999995</v>
      </c>
      <c r="Q120" s="8">
        <v>7.3900000000000006</v>
      </c>
      <c r="R120" s="8">
        <v>7.08</v>
      </c>
      <c r="S120" s="8">
        <v>6.6100000000000012</v>
      </c>
      <c r="T120" s="8">
        <v>66.284000000000006</v>
      </c>
    </row>
    <row r="121" spans="1:20" x14ac:dyDescent="0.3">
      <c r="A121" s="32" t="s">
        <v>31</v>
      </c>
      <c r="B121" s="27" t="s">
        <v>16</v>
      </c>
      <c r="C121" s="6" t="s">
        <v>56</v>
      </c>
      <c r="D121" s="6" t="s">
        <v>72</v>
      </c>
      <c r="E121" s="7">
        <v>96765</v>
      </c>
      <c r="F121" s="7" t="s">
        <v>47</v>
      </c>
      <c r="G121" s="7" t="s">
        <v>43</v>
      </c>
      <c r="H121" s="7" t="s">
        <v>37</v>
      </c>
      <c r="I121" s="5">
        <v>44657</v>
      </c>
      <c r="J121" s="7">
        <v>23</v>
      </c>
      <c r="K121" s="7" t="str">
        <f>CONCATENATE(D121,"_F",G121,"_BIM_",B121)</f>
        <v>TN_C0G_F3A_BIM_IV</v>
      </c>
      <c r="L121" s="8">
        <v>7.8</v>
      </c>
      <c r="M121" s="8">
        <v>6.919999999999999</v>
      </c>
      <c r="N121" s="8">
        <v>7.33</v>
      </c>
      <c r="O121" s="8">
        <v>6.26</v>
      </c>
      <c r="P121" s="8">
        <v>7.62</v>
      </c>
      <c r="Q121" s="8">
        <v>6.62</v>
      </c>
      <c r="R121" s="8">
        <v>7.12</v>
      </c>
      <c r="S121" s="8">
        <v>7.1</v>
      </c>
      <c r="T121" s="8">
        <v>67.678999999999988</v>
      </c>
    </row>
    <row r="122" spans="1:20" x14ac:dyDescent="0.3">
      <c r="A122" s="32" t="s">
        <v>31</v>
      </c>
      <c r="B122" s="27" t="s">
        <v>16</v>
      </c>
      <c r="C122" s="6" t="s">
        <v>56</v>
      </c>
      <c r="D122" s="6" t="s">
        <v>77</v>
      </c>
      <c r="E122" s="7">
        <v>80519</v>
      </c>
      <c r="F122" s="7" t="s">
        <v>58</v>
      </c>
      <c r="G122" s="7" t="s">
        <v>39</v>
      </c>
      <c r="H122" s="7" t="s">
        <v>38</v>
      </c>
      <c r="I122" s="5">
        <v>44657</v>
      </c>
      <c r="J122" s="7">
        <v>23</v>
      </c>
      <c r="K122" s="7" t="str">
        <f>CONCATENATE(D122,"_F",G122,"_BIM_",B122)</f>
        <v>TN_C0O_F2A_BIM_IV</v>
      </c>
      <c r="L122" s="8">
        <v>7.419999999999999</v>
      </c>
      <c r="M122" s="8">
        <v>6.51</v>
      </c>
      <c r="N122" s="8">
        <v>7.1099999999999994</v>
      </c>
      <c r="O122" s="8">
        <v>5.45</v>
      </c>
      <c r="P122" s="8">
        <v>7.67</v>
      </c>
      <c r="Q122" s="8">
        <v>7.12</v>
      </c>
      <c r="R122" s="8">
        <v>7.4300000000000015</v>
      </c>
      <c r="S122" s="8">
        <v>7.2899999999999991</v>
      </c>
      <c r="T122" s="8">
        <v>67.738</v>
      </c>
    </row>
    <row r="123" spans="1:20" x14ac:dyDescent="0.3">
      <c r="A123" s="32" t="s">
        <v>31</v>
      </c>
      <c r="B123" s="27" t="s">
        <v>17</v>
      </c>
      <c r="C123" s="6" t="s">
        <v>60</v>
      </c>
      <c r="D123" s="6" t="s">
        <v>67</v>
      </c>
      <c r="E123" s="7">
        <v>1835</v>
      </c>
      <c r="F123" s="7" t="s">
        <v>57</v>
      </c>
      <c r="G123" s="7" t="s">
        <v>34</v>
      </c>
      <c r="H123" s="7" t="s">
        <v>35</v>
      </c>
      <c r="I123" s="12">
        <v>44685</v>
      </c>
      <c r="J123" s="7">
        <v>24</v>
      </c>
      <c r="K123" s="7" t="str">
        <f>CONCATENATE(D123,"_F",G123,"_BIM_",B123)</f>
        <v>TN_C0C_F1A_BIM_V</v>
      </c>
      <c r="L123" s="8">
        <v>7.2799999999999994</v>
      </c>
      <c r="M123" s="8">
        <v>7.15</v>
      </c>
      <c r="N123" s="8">
        <v>6.8400000000000007</v>
      </c>
      <c r="O123" s="8">
        <v>7.7099999999999991</v>
      </c>
      <c r="P123" s="8">
        <v>7.3899999999999988</v>
      </c>
      <c r="Q123" s="8">
        <v>6.58</v>
      </c>
      <c r="R123" s="8">
        <v>7.160000000000001</v>
      </c>
      <c r="S123" s="8">
        <v>6.4</v>
      </c>
      <c r="T123" s="8">
        <v>66.893000000000001</v>
      </c>
    </row>
    <row r="124" spans="1:20" x14ac:dyDescent="0.3">
      <c r="A124" s="32" t="s">
        <v>31</v>
      </c>
      <c r="B124" s="27" t="s">
        <v>17</v>
      </c>
      <c r="C124" s="6" t="s">
        <v>60</v>
      </c>
      <c r="D124" s="6" t="s">
        <v>68</v>
      </c>
      <c r="E124" s="7">
        <v>20262</v>
      </c>
      <c r="F124" s="7" t="s">
        <v>59</v>
      </c>
      <c r="G124" s="7" t="s">
        <v>34</v>
      </c>
      <c r="H124" s="7" t="s">
        <v>36</v>
      </c>
      <c r="I124" s="12">
        <v>44685</v>
      </c>
      <c r="J124" s="7">
        <v>24</v>
      </c>
      <c r="K124" s="7" t="str">
        <f>CONCATENATE(D124,"_F",G124,"_BIM_",B124)</f>
        <v>TN_C0D_F1A_BIM_V</v>
      </c>
      <c r="L124" s="8">
        <v>6.45</v>
      </c>
      <c r="M124" s="8">
        <v>7.6599999999999993</v>
      </c>
      <c r="N124" s="8">
        <v>6.51</v>
      </c>
      <c r="O124" s="8">
        <v>7.160000000000001</v>
      </c>
      <c r="P124" s="8">
        <v>6.6099999999999994</v>
      </c>
      <c r="Q124" s="8">
        <v>7.13</v>
      </c>
      <c r="R124" s="8">
        <v>6.9599999999999991</v>
      </c>
      <c r="S124" s="8">
        <v>6.43</v>
      </c>
      <c r="T124" s="8">
        <v>65.297999999999988</v>
      </c>
    </row>
    <row r="125" spans="1:20" x14ac:dyDescent="0.3">
      <c r="A125" s="32" t="s">
        <v>31</v>
      </c>
      <c r="B125" s="27" t="s">
        <v>17</v>
      </c>
      <c r="C125" s="6" t="s">
        <v>60</v>
      </c>
      <c r="D125" s="6" t="s">
        <v>69</v>
      </c>
      <c r="E125" s="7">
        <v>72498</v>
      </c>
      <c r="F125" s="7" t="s">
        <v>58</v>
      </c>
      <c r="G125" s="7" t="s">
        <v>34</v>
      </c>
      <c r="H125" s="7" t="s">
        <v>37</v>
      </c>
      <c r="I125" s="12">
        <v>44685</v>
      </c>
      <c r="J125" s="7">
        <v>24</v>
      </c>
      <c r="K125" s="7" t="str">
        <f>CONCATENATE(D125,"_F",G125,"_BIM_",B125)</f>
        <v>TN_C0E_F1A_BIM_V</v>
      </c>
      <c r="L125" s="8">
        <v>7.410000000000001</v>
      </c>
      <c r="M125" s="8">
        <v>5.12</v>
      </c>
      <c r="N125" s="8">
        <v>7.6400000000000006</v>
      </c>
      <c r="O125" s="8">
        <v>6.3100000000000005</v>
      </c>
      <c r="P125" s="8">
        <v>6.9399999999999995</v>
      </c>
      <c r="Q125" s="8">
        <v>5.71</v>
      </c>
      <c r="R125" s="8">
        <v>6.6400000000000006</v>
      </c>
      <c r="S125" s="8">
        <v>6.15</v>
      </c>
      <c r="T125" s="8">
        <v>62.208000000000013</v>
      </c>
    </row>
    <row r="126" spans="1:20" x14ac:dyDescent="0.3">
      <c r="A126" s="32" t="s">
        <v>31</v>
      </c>
      <c r="B126" s="27" t="s">
        <v>17</v>
      </c>
      <c r="C126" s="6" t="s">
        <v>60</v>
      </c>
      <c r="D126" s="6" t="s">
        <v>76</v>
      </c>
      <c r="E126" s="7">
        <v>12716</v>
      </c>
      <c r="F126" s="7" t="s">
        <v>57</v>
      </c>
      <c r="G126" s="7" t="s">
        <v>34</v>
      </c>
      <c r="H126" s="7" t="s">
        <v>38</v>
      </c>
      <c r="I126" s="12">
        <v>44685</v>
      </c>
      <c r="J126" s="7">
        <v>24</v>
      </c>
      <c r="K126" s="7" t="str">
        <f>CONCATENATE(D126,"_F",G126,"_BIM_",B126)</f>
        <v>TN_C0M_F1A_BIM_V</v>
      </c>
      <c r="L126" s="8">
        <v>6.9799999999999995</v>
      </c>
      <c r="M126" s="8">
        <v>5.0699999999999994</v>
      </c>
      <c r="N126" s="8">
        <v>6.68</v>
      </c>
      <c r="O126" s="8">
        <v>5.5900000000000007</v>
      </c>
      <c r="P126" s="8">
        <v>7.3900000000000006</v>
      </c>
      <c r="Q126" s="8">
        <v>7.74</v>
      </c>
      <c r="R126" s="8">
        <v>7.3400000000000007</v>
      </c>
      <c r="S126" s="8">
        <v>6.65</v>
      </c>
      <c r="T126" s="8">
        <v>65.492000000000004</v>
      </c>
    </row>
    <row r="127" spans="1:20" x14ac:dyDescent="0.3">
      <c r="A127" s="32" t="s">
        <v>31</v>
      </c>
      <c r="B127" s="27" t="s">
        <v>17</v>
      </c>
      <c r="C127" s="6" t="s">
        <v>60</v>
      </c>
      <c r="D127" s="6" t="s">
        <v>80</v>
      </c>
      <c r="E127" s="7">
        <v>23450</v>
      </c>
      <c r="F127" s="7" t="s">
        <v>57</v>
      </c>
      <c r="G127" s="7" t="s">
        <v>34</v>
      </c>
      <c r="H127" s="7" t="s">
        <v>42</v>
      </c>
      <c r="I127" s="12">
        <v>44685</v>
      </c>
      <c r="J127" s="7">
        <v>24</v>
      </c>
      <c r="K127" s="7" t="str">
        <f>CONCATENATE(D127,"_F",G127,"_BIM_",B127)</f>
        <v>TN_C0R_F1A_BIM_V</v>
      </c>
      <c r="L127" s="8">
        <v>6.81</v>
      </c>
      <c r="M127" s="8">
        <v>7.4</v>
      </c>
      <c r="N127" s="8">
        <v>8.0500000000000007</v>
      </c>
      <c r="O127" s="8">
        <v>5.49</v>
      </c>
      <c r="P127" s="8">
        <v>7.25</v>
      </c>
      <c r="Q127" s="8">
        <v>6.6199999999999992</v>
      </c>
      <c r="R127" s="8">
        <v>7.06</v>
      </c>
      <c r="S127" s="8">
        <v>6.6199999999999992</v>
      </c>
      <c r="T127" s="8">
        <v>67.355999999999995</v>
      </c>
    </row>
    <row r="128" spans="1:20" x14ac:dyDescent="0.3">
      <c r="A128" s="32" t="s">
        <v>31</v>
      </c>
      <c r="B128" s="27" t="s">
        <v>17</v>
      </c>
      <c r="C128" s="6" t="s">
        <v>60</v>
      </c>
      <c r="D128" s="6" t="s">
        <v>64</v>
      </c>
      <c r="E128" s="7">
        <v>97897</v>
      </c>
      <c r="F128" s="7" t="s">
        <v>61</v>
      </c>
      <c r="G128" s="7" t="s">
        <v>41</v>
      </c>
      <c r="H128" s="7" t="s">
        <v>35</v>
      </c>
      <c r="I128" s="5">
        <v>44692</v>
      </c>
      <c r="J128" s="7">
        <v>25</v>
      </c>
      <c r="K128" s="7" t="str">
        <f>CONCATENATE(D128,"_F",G128,"_BIM_",B128)</f>
        <v>TN_C0A_F1B_BIM_V</v>
      </c>
      <c r="L128" s="8">
        <v>6.9875000000000007</v>
      </c>
      <c r="M128" s="8">
        <v>6.4750000000000005</v>
      </c>
      <c r="N128" s="8">
        <v>7.7249999999999996</v>
      </c>
      <c r="O128" s="8">
        <v>6.4249999999999989</v>
      </c>
      <c r="P128" s="8">
        <v>7.0375000000000005</v>
      </c>
      <c r="Q128" s="8">
        <v>6.8624999999999998</v>
      </c>
      <c r="R128" s="8">
        <v>6.7874999999999996</v>
      </c>
      <c r="S128" s="8">
        <v>5.9375</v>
      </c>
      <c r="T128" s="8">
        <v>65.79249999999999</v>
      </c>
    </row>
    <row r="129" spans="1:20" x14ac:dyDescent="0.3">
      <c r="A129" s="32" t="s">
        <v>31</v>
      </c>
      <c r="B129" s="27" t="s">
        <v>17</v>
      </c>
      <c r="C129" s="6" t="s">
        <v>60</v>
      </c>
      <c r="D129" s="6" t="s">
        <v>67</v>
      </c>
      <c r="E129" s="7">
        <v>1282</v>
      </c>
      <c r="F129" s="7" t="s">
        <v>57</v>
      </c>
      <c r="G129" s="7" t="s">
        <v>39</v>
      </c>
      <c r="H129" s="7" t="s">
        <v>36</v>
      </c>
      <c r="I129" s="5">
        <v>44692</v>
      </c>
      <c r="J129" s="7">
        <v>25</v>
      </c>
      <c r="K129" s="7" t="str">
        <f>CONCATENATE(D129,"_F",G129,"_BIM_",B129)</f>
        <v>TN_C0C_F2A_BIM_V</v>
      </c>
      <c r="L129" s="8">
        <v>7.55</v>
      </c>
      <c r="M129" s="8">
        <v>8.0499999999999989</v>
      </c>
      <c r="N129" s="8">
        <v>7.2374999999999998</v>
      </c>
      <c r="O129" s="8">
        <v>8.4624999999999986</v>
      </c>
      <c r="P129" s="8">
        <v>7.0875000000000004</v>
      </c>
      <c r="Q129" s="8">
        <v>7.0125000000000002</v>
      </c>
      <c r="R129" s="8">
        <v>7.1625000000000005</v>
      </c>
      <c r="S129" s="8">
        <v>6.5374999999999996</v>
      </c>
      <c r="T129" s="8">
        <v>69.376249999999999</v>
      </c>
    </row>
    <row r="130" spans="1:20" x14ac:dyDescent="0.3">
      <c r="A130" s="32" t="s">
        <v>31</v>
      </c>
      <c r="B130" s="27" t="s">
        <v>17</v>
      </c>
      <c r="C130" s="6" t="s">
        <v>60</v>
      </c>
      <c r="D130" s="6" t="s">
        <v>72</v>
      </c>
      <c r="E130" s="7">
        <v>6127</v>
      </c>
      <c r="F130" s="7" t="s">
        <v>57</v>
      </c>
      <c r="G130" s="7" t="s">
        <v>34</v>
      </c>
      <c r="H130" s="7" t="s">
        <v>37</v>
      </c>
      <c r="I130" s="5">
        <v>44692</v>
      </c>
      <c r="J130" s="7">
        <v>25</v>
      </c>
      <c r="K130" s="7" t="str">
        <f>CONCATENATE(D130,"_F",G130,"_BIM_",B130)</f>
        <v>TN_C0G_F1A_BIM_V</v>
      </c>
      <c r="L130" s="8">
        <v>7.0250000000000004</v>
      </c>
      <c r="M130" s="8">
        <v>7.3624999999999989</v>
      </c>
      <c r="N130" s="8">
        <v>7.0625</v>
      </c>
      <c r="O130" s="8">
        <v>7.55</v>
      </c>
      <c r="P130" s="8">
        <v>7.7125000000000004</v>
      </c>
      <c r="Q130" s="8">
        <v>6.8875000000000002</v>
      </c>
      <c r="R130" s="8">
        <v>7.3000000000000007</v>
      </c>
      <c r="S130" s="8">
        <v>7.8999999999999995</v>
      </c>
      <c r="T130" s="8">
        <v>69.293750000000003</v>
      </c>
    </row>
    <row r="131" spans="1:20" x14ac:dyDescent="0.3">
      <c r="A131" s="32" t="s">
        <v>31</v>
      </c>
      <c r="B131" s="27" t="s">
        <v>17</v>
      </c>
      <c r="C131" s="6" t="s">
        <v>60</v>
      </c>
      <c r="D131" s="6" t="s">
        <v>76</v>
      </c>
      <c r="E131" s="7">
        <v>12538</v>
      </c>
      <c r="F131" s="7" t="s">
        <v>57</v>
      </c>
      <c r="G131" s="7" t="s">
        <v>39</v>
      </c>
      <c r="H131" s="7" t="s">
        <v>38</v>
      </c>
      <c r="I131" s="5">
        <v>44692</v>
      </c>
      <c r="J131" s="7">
        <v>25</v>
      </c>
      <c r="K131" s="7" t="str">
        <f>CONCATENATE(D131,"_F",G131,"_BIM_",B131)</f>
        <v>TN_C0M_F2A_BIM_V</v>
      </c>
      <c r="L131" s="8">
        <v>7.1624999999999988</v>
      </c>
      <c r="M131" s="8">
        <v>7.0875000000000004</v>
      </c>
      <c r="N131" s="8">
        <v>7.0250000000000004</v>
      </c>
      <c r="O131" s="8">
        <v>7.2249999999999996</v>
      </c>
      <c r="P131" s="8">
        <v>7.3624999999999998</v>
      </c>
      <c r="Q131" s="8">
        <v>6.9</v>
      </c>
      <c r="R131" s="8">
        <v>7.0875000000000004</v>
      </c>
      <c r="S131" s="8">
        <v>6.9</v>
      </c>
      <c r="T131" s="8">
        <v>67.407499999999999</v>
      </c>
    </row>
    <row r="132" spans="1:20" x14ac:dyDescent="0.3">
      <c r="A132" s="32" t="s">
        <v>31</v>
      </c>
      <c r="B132" s="27" t="s">
        <v>17</v>
      </c>
      <c r="C132" s="6" t="s">
        <v>60</v>
      </c>
      <c r="D132" s="6" t="s">
        <v>79</v>
      </c>
      <c r="E132" s="7">
        <v>85852</v>
      </c>
      <c r="F132" s="7" t="s">
        <v>58</v>
      </c>
      <c r="G132" s="7" t="s">
        <v>34</v>
      </c>
      <c r="H132" s="7" t="s">
        <v>42</v>
      </c>
      <c r="I132" s="5">
        <v>44692</v>
      </c>
      <c r="J132" s="7">
        <v>25</v>
      </c>
      <c r="K132" s="7" t="str">
        <f>CONCATENATE(D132,"_F",G132,"_BIM_",B132)</f>
        <v>TN_C0Q_F1A_BIM_V</v>
      </c>
      <c r="L132" s="8">
        <v>6.5374999999999996</v>
      </c>
      <c r="M132" s="8">
        <v>5.8125000000000009</v>
      </c>
      <c r="N132" s="8">
        <v>6.7250000000000005</v>
      </c>
      <c r="O132" s="8">
        <v>5.1624999999999996</v>
      </c>
      <c r="P132" s="8">
        <v>6.95</v>
      </c>
      <c r="Q132" s="8">
        <v>6.5875000000000004</v>
      </c>
      <c r="R132" s="8">
        <v>6.4124999999999996</v>
      </c>
      <c r="S132" s="8">
        <v>6.65</v>
      </c>
      <c r="T132" s="8">
        <v>61.505000000000003</v>
      </c>
    </row>
    <row r="133" spans="1:20" x14ac:dyDescent="0.3">
      <c r="A133" s="32" t="s">
        <v>31</v>
      </c>
      <c r="B133" s="27" t="s">
        <v>17</v>
      </c>
      <c r="C133" s="6" t="s">
        <v>60</v>
      </c>
      <c r="D133" s="6" t="s">
        <v>64</v>
      </c>
      <c r="E133" s="7">
        <v>98380</v>
      </c>
      <c r="F133" s="7" t="s">
        <v>61</v>
      </c>
      <c r="G133" s="7" t="s">
        <v>54</v>
      </c>
      <c r="H133" s="7" t="s">
        <v>35</v>
      </c>
      <c r="I133" s="5">
        <v>44699</v>
      </c>
      <c r="J133" s="7">
        <v>26</v>
      </c>
      <c r="K133" s="7" t="str">
        <f>CONCATENATE(D133,"_F",G133,"_BIM_",B133)</f>
        <v>TN_C0A_F2B_BIM_V</v>
      </c>
      <c r="L133" s="8">
        <v>7.0875000000000004</v>
      </c>
      <c r="M133" s="8">
        <v>6.75</v>
      </c>
      <c r="N133" s="8">
        <v>7.0624999999999991</v>
      </c>
      <c r="O133" s="8">
        <v>7.7375000000000007</v>
      </c>
      <c r="P133" s="8">
        <v>7.2875000000000005</v>
      </c>
      <c r="Q133" s="8">
        <v>6.35</v>
      </c>
      <c r="R133" s="8">
        <v>6.4624999999999995</v>
      </c>
      <c r="S133" s="8">
        <v>6.5374999999999996</v>
      </c>
      <c r="T133" s="8">
        <v>65.09</v>
      </c>
    </row>
    <row r="134" spans="1:20" x14ac:dyDescent="0.3">
      <c r="A134" s="32" t="s">
        <v>31</v>
      </c>
      <c r="B134" s="27" t="s">
        <v>17</v>
      </c>
      <c r="C134" s="6" t="s">
        <v>60</v>
      </c>
      <c r="D134" s="6" t="s">
        <v>66</v>
      </c>
      <c r="E134" s="7">
        <v>74051</v>
      </c>
      <c r="F134" s="7" t="s">
        <v>47</v>
      </c>
      <c r="G134" s="7" t="s">
        <v>34</v>
      </c>
      <c r="H134" s="7" t="s">
        <v>36</v>
      </c>
      <c r="I134" s="5">
        <v>44699</v>
      </c>
      <c r="J134" s="7">
        <v>26</v>
      </c>
      <c r="K134" s="7" t="str">
        <f>CONCATENATE(D134,"_F",G134,"_BIM_",B134)</f>
        <v>TN_C0B_F1A_BIM_V</v>
      </c>
      <c r="L134" s="8">
        <v>7.2749999999999995</v>
      </c>
      <c r="M134" s="8">
        <v>7.6124999999999998</v>
      </c>
      <c r="N134" s="8">
        <v>6.9625000000000004</v>
      </c>
      <c r="O134" s="8">
        <v>6.2624999999999993</v>
      </c>
      <c r="P134" s="8">
        <v>7.5125000000000002</v>
      </c>
      <c r="Q134" s="8">
        <v>7.2124999999999995</v>
      </c>
      <c r="R134" s="8">
        <v>7.1374999999999993</v>
      </c>
      <c r="S134" s="8">
        <v>6.3</v>
      </c>
      <c r="T134" s="8">
        <v>67.887500000000003</v>
      </c>
    </row>
    <row r="135" spans="1:20" x14ac:dyDescent="0.3">
      <c r="A135" s="32" t="s">
        <v>31</v>
      </c>
      <c r="B135" s="27" t="s">
        <v>17</v>
      </c>
      <c r="C135" s="6" t="s">
        <v>60</v>
      </c>
      <c r="D135" s="6" t="s">
        <v>72</v>
      </c>
      <c r="E135" s="7">
        <v>6426</v>
      </c>
      <c r="F135" s="7" t="s">
        <v>57</v>
      </c>
      <c r="G135" s="7" t="s">
        <v>39</v>
      </c>
      <c r="H135" s="7" t="s">
        <v>37</v>
      </c>
      <c r="I135" s="5">
        <v>44699</v>
      </c>
      <c r="J135" s="7">
        <v>26</v>
      </c>
      <c r="K135" s="7" t="str">
        <f>CONCATENATE(D135,"_F",G135,"_BIM_",B135)</f>
        <v>TN_C0G_F2A_BIM_V</v>
      </c>
      <c r="L135" s="8">
        <v>6.3624999999999998</v>
      </c>
      <c r="M135" s="8">
        <v>7.4624999999999995</v>
      </c>
      <c r="N135" s="8">
        <v>5.4750000000000005</v>
      </c>
      <c r="O135" s="8">
        <v>6.3624999999999998</v>
      </c>
      <c r="P135" s="8">
        <v>7.6124999999999998</v>
      </c>
      <c r="Q135" s="8">
        <v>7.1375000000000002</v>
      </c>
      <c r="R135" s="8">
        <v>7.4249999999999998</v>
      </c>
      <c r="S135" s="8">
        <v>7.3874999999999993</v>
      </c>
      <c r="T135" s="8">
        <v>65.796249999999986</v>
      </c>
    </row>
    <row r="136" spans="1:20" x14ac:dyDescent="0.3">
      <c r="A136" s="32" t="s">
        <v>31</v>
      </c>
      <c r="B136" s="27" t="s">
        <v>17</v>
      </c>
      <c r="C136" s="6" t="s">
        <v>60</v>
      </c>
      <c r="D136" s="6" t="s">
        <v>75</v>
      </c>
      <c r="E136" s="7">
        <v>6172</v>
      </c>
      <c r="F136" s="7" t="s">
        <v>49</v>
      </c>
      <c r="G136" s="7" t="s">
        <v>34</v>
      </c>
      <c r="H136" s="7" t="s">
        <v>38</v>
      </c>
      <c r="I136" s="5">
        <v>44699</v>
      </c>
      <c r="J136" s="7">
        <v>26</v>
      </c>
      <c r="K136" s="7" t="str">
        <f>CONCATENATE(D136,"_F",G136,"_BIM_",B136)</f>
        <v>TN_C0L_F1A_BIM_V</v>
      </c>
      <c r="L136" s="8">
        <v>6.5125000000000002</v>
      </c>
      <c r="M136" s="8">
        <v>5.0374999999999996</v>
      </c>
      <c r="N136" s="8">
        <v>7.6</v>
      </c>
      <c r="O136" s="8">
        <v>6.55</v>
      </c>
      <c r="P136" s="8">
        <v>7.8250000000000011</v>
      </c>
      <c r="Q136" s="8">
        <v>7.4124999999999996</v>
      </c>
      <c r="R136" s="8">
        <v>7.3624999999999998</v>
      </c>
      <c r="S136" s="8">
        <v>6.9624999999999995</v>
      </c>
      <c r="T136" s="8">
        <v>67.696250000000006</v>
      </c>
    </row>
    <row r="137" spans="1:20" x14ac:dyDescent="0.3">
      <c r="A137" s="32" t="s">
        <v>31</v>
      </c>
      <c r="B137" s="27" t="s">
        <v>17</v>
      </c>
      <c r="C137" s="6" t="s">
        <v>60</v>
      </c>
      <c r="D137" s="6" t="s">
        <v>76</v>
      </c>
      <c r="E137" s="7">
        <v>13399</v>
      </c>
      <c r="F137" s="7" t="s">
        <v>57</v>
      </c>
      <c r="G137" s="7" t="s">
        <v>34</v>
      </c>
      <c r="H137" s="7" t="s">
        <v>42</v>
      </c>
      <c r="I137" s="5">
        <v>44699</v>
      </c>
      <c r="J137" s="7">
        <v>26</v>
      </c>
      <c r="K137" s="7" t="str">
        <f>CONCATENATE(D137,"_F",G137,"_BIM_",B137)</f>
        <v>TN_C0M_F1A_BIM_V</v>
      </c>
      <c r="L137" s="8">
        <v>7.4624999999999995</v>
      </c>
      <c r="M137" s="8">
        <v>5.9624999999999995</v>
      </c>
      <c r="N137" s="8">
        <v>7.5125000000000002</v>
      </c>
      <c r="O137" s="8">
        <v>6.6875</v>
      </c>
      <c r="P137" s="8">
        <v>7.1875</v>
      </c>
      <c r="Q137" s="8">
        <v>6.9124999999999996</v>
      </c>
      <c r="R137" s="8">
        <v>7.15</v>
      </c>
      <c r="S137" s="8">
        <v>6.3624999999999998</v>
      </c>
      <c r="T137" s="8">
        <v>66.53</v>
      </c>
    </row>
    <row r="138" spans="1:20" x14ac:dyDescent="0.3">
      <c r="A138" s="32" t="s">
        <v>31</v>
      </c>
      <c r="B138" s="27" t="s">
        <v>17</v>
      </c>
      <c r="C138" s="6" t="s">
        <v>60</v>
      </c>
      <c r="D138" s="6" t="s">
        <v>64</v>
      </c>
      <c r="E138" s="7">
        <v>98006</v>
      </c>
      <c r="F138" s="7" t="s">
        <v>61</v>
      </c>
      <c r="G138" s="7" t="s">
        <v>55</v>
      </c>
      <c r="H138" s="7" t="s">
        <v>35</v>
      </c>
      <c r="I138" s="5">
        <v>44713</v>
      </c>
      <c r="J138" s="7">
        <v>27</v>
      </c>
      <c r="K138" s="7" t="str">
        <f>CONCATENATE(D138,"_F",G138,"_BIM_",B138)</f>
        <v>TN_C0A_F3B_BIM_V</v>
      </c>
      <c r="L138" s="8">
        <v>6.5166666666666666</v>
      </c>
      <c r="M138" s="8">
        <v>6.9666666666666659</v>
      </c>
      <c r="N138" s="8">
        <v>6.8499999999999988</v>
      </c>
      <c r="O138" s="8">
        <v>7.1833333333333336</v>
      </c>
      <c r="P138" s="8">
        <v>6.9499999999999993</v>
      </c>
      <c r="Q138" s="8">
        <v>6.7166666666666659</v>
      </c>
      <c r="R138" s="8">
        <v>7.3000000000000007</v>
      </c>
      <c r="S138" s="8">
        <v>6.5</v>
      </c>
      <c r="T138" s="8">
        <v>65.724999999999994</v>
      </c>
    </row>
    <row r="139" spans="1:20" x14ac:dyDescent="0.3">
      <c r="A139" s="32" t="s">
        <v>31</v>
      </c>
      <c r="B139" s="27" t="s">
        <v>17</v>
      </c>
      <c r="C139" s="6" t="s">
        <v>60</v>
      </c>
      <c r="D139" s="6" t="s">
        <v>67</v>
      </c>
      <c r="E139" s="7">
        <v>1705</v>
      </c>
      <c r="F139" s="7" t="s">
        <v>57</v>
      </c>
      <c r="G139" s="7" t="s">
        <v>43</v>
      </c>
      <c r="H139" s="7" t="s">
        <v>36</v>
      </c>
      <c r="I139" s="5">
        <v>44713</v>
      </c>
      <c r="J139" s="7">
        <v>27</v>
      </c>
      <c r="K139" s="7" t="str">
        <f>CONCATENATE(D139,"_F",G139,"_BIM_",B139)</f>
        <v>TN_C0C_F3A_BIM_V</v>
      </c>
      <c r="L139" s="8">
        <v>6.9000000000000012</v>
      </c>
      <c r="M139" s="8">
        <v>6.8666666666666663</v>
      </c>
      <c r="N139" s="8">
        <v>6.6833333333333336</v>
      </c>
      <c r="O139" s="8">
        <v>8.2999999999999989</v>
      </c>
      <c r="P139" s="8">
        <v>7.05</v>
      </c>
      <c r="Q139" s="8">
        <v>6.5999999999999988</v>
      </c>
      <c r="R139" s="8">
        <v>7.083333333333333</v>
      </c>
      <c r="S139" s="8">
        <v>6.5</v>
      </c>
      <c r="T139" s="8">
        <v>65.844999999999999</v>
      </c>
    </row>
    <row r="140" spans="1:20" x14ac:dyDescent="0.3">
      <c r="A140" s="32" t="s">
        <v>31</v>
      </c>
      <c r="B140" s="27" t="s">
        <v>17</v>
      </c>
      <c r="C140" s="6" t="s">
        <v>60</v>
      </c>
      <c r="D140" s="6" t="s">
        <v>69</v>
      </c>
      <c r="E140" s="7">
        <v>72741</v>
      </c>
      <c r="F140" s="7" t="s">
        <v>58</v>
      </c>
      <c r="G140" s="7" t="s">
        <v>54</v>
      </c>
      <c r="H140" s="7" t="s">
        <v>37</v>
      </c>
      <c r="I140" s="5">
        <v>44713</v>
      </c>
      <c r="J140" s="7">
        <v>27</v>
      </c>
      <c r="K140" s="7" t="str">
        <f>CONCATENATE(D140,"_F",G140,"_BIM_",B140)</f>
        <v>TN_C0E_F2B_BIM_V</v>
      </c>
      <c r="L140" s="8">
        <v>7.5666666666666664</v>
      </c>
      <c r="M140" s="8">
        <v>7.583333333333333</v>
      </c>
      <c r="N140" s="8">
        <v>8.25</v>
      </c>
      <c r="O140" s="8">
        <v>6.1333333333333329</v>
      </c>
      <c r="P140" s="8">
        <v>7.2166666666666677</v>
      </c>
      <c r="Q140" s="8">
        <v>6.1833333333333336</v>
      </c>
      <c r="R140" s="8">
        <v>6.8500000000000005</v>
      </c>
      <c r="S140" s="8">
        <v>6.2166666666666677</v>
      </c>
      <c r="T140" s="8">
        <v>67.361666666666665</v>
      </c>
    </row>
    <row r="141" spans="1:20" x14ac:dyDescent="0.3">
      <c r="A141" s="32" t="s">
        <v>31</v>
      </c>
      <c r="B141" s="27" t="s">
        <v>17</v>
      </c>
      <c r="C141" s="6" t="s">
        <v>60</v>
      </c>
      <c r="D141" s="6" t="s">
        <v>73</v>
      </c>
      <c r="E141" s="7">
        <v>76594</v>
      </c>
      <c r="F141" s="7" t="s">
        <v>58</v>
      </c>
      <c r="G141" s="7" t="s">
        <v>34</v>
      </c>
      <c r="H141" s="7" t="s">
        <v>38</v>
      </c>
      <c r="I141" s="5">
        <v>44713</v>
      </c>
      <c r="J141" s="7">
        <v>27</v>
      </c>
      <c r="K141" s="7" t="str">
        <f>CONCATENATE(D141,"_F",G141,"_BIM_",B141)</f>
        <v>TN_C0H_F1A_BIM_V</v>
      </c>
      <c r="L141" s="8">
        <v>7.6166666666666663</v>
      </c>
      <c r="M141" s="8">
        <v>6.3500000000000005</v>
      </c>
      <c r="N141" s="8">
        <v>7.2</v>
      </c>
      <c r="O141" s="8">
        <v>6.5666666666666664</v>
      </c>
      <c r="P141" s="8">
        <v>7.666666666666667</v>
      </c>
      <c r="Q141" s="8">
        <v>7.3500000000000005</v>
      </c>
      <c r="R141" s="8">
        <v>7.8499999999999988</v>
      </c>
      <c r="S141" s="8">
        <v>7.2333333333333334</v>
      </c>
      <c r="T141" s="8">
        <v>69.589999999999989</v>
      </c>
    </row>
    <row r="142" spans="1:20" x14ac:dyDescent="0.3">
      <c r="A142" s="32" t="s">
        <v>31</v>
      </c>
      <c r="B142" s="27" t="s">
        <v>17</v>
      </c>
      <c r="C142" s="6" t="s">
        <v>60</v>
      </c>
      <c r="D142" s="6" t="s">
        <v>76</v>
      </c>
      <c r="E142" s="7">
        <v>13885</v>
      </c>
      <c r="F142" s="7" t="s">
        <v>57</v>
      </c>
      <c r="G142" s="7" t="s">
        <v>39</v>
      </c>
      <c r="H142" s="7" t="s">
        <v>42</v>
      </c>
      <c r="I142" s="5">
        <v>44713</v>
      </c>
      <c r="J142" s="7">
        <v>27</v>
      </c>
      <c r="K142" s="7" t="str">
        <f>CONCATENATE(D142,"_F",G142,"_BIM_",B142)</f>
        <v>TN_C0M_F2A_BIM_V</v>
      </c>
      <c r="L142" s="8">
        <v>7.1833333333333345</v>
      </c>
      <c r="M142" s="8">
        <v>6.7333333333333334</v>
      </c>
      <c r="N142" s="8">
        <v>7.0500000000000007</v>
      </c>
      <c r="O142" s="8">
        <v>5.833333333333333</v>
      </c>
      <c r="P142" s="8">
        <v>7.3000000000000007</v>
      </c>
      <c r="Q142" s="8">
        <v>7.333333333333333</v>
      </c>
      <c r="R142" s="8">
        <v>7.5666666666666664</v>
      </c>
      <c r="S142" s="8">
        <v>8.0666666666666664</v>
      </c>
      <c r="T142" s="8">
        <v>68.301666666666662</v>
      </c>
    </row>
    <row r="143" spans="1:20" x14ac:dyDescent="0.3">
      <c r="A143" s="32" t="s">
        <v>31</v>
      </c>
      <c r="B143" s="27" t="s">
        <v>17</v>
      </c>
      <c r="C143" s="6" t="s">
        <v>60</v>
      </c>
      <c r="D143" s="6" t="s">
        <v>77</v>
      </c>
      <c r="E143" s="7">
        <v>81446</v>
      </c>
      <c r="F143" s="7" t="s">
        <v>58</v>
      </c>
      <c r="G143" s="7" t="s">
        <v>34</v>
      </c>
      <c r="H143" s="7" t="s">
        <v>44</v>
      </c>
      <c r="I143" s="5">
        <v>44713</v>
      </c>
      <c r="J143" s="7">
        <v>27</v>
      </c>
      <c r="K143" s="7" t="str">
        <f>CONCATENATE(D143,"_F",G143,"_BIM_",B143)</f>
        <v>TN_C0O_F1A_BIM_V</v>
      </c>
      <c r="L143" s="8">
        <v>7.6500000000000012</v>
      </c>
      <c r="M143" s="8">
        <v>7.2666666666666666</v>
      </c>
      <c r="N143" s="8">
        <v>6.1000000000000005</v>
      </c>
      <c r="O143" s="8">
        <v>5.8666666666666671</v>
      </c>
      <c r="P143" s="8">
        <v>7.35</v>
      </c>
      <c r="Q143" s="8">
        <v>7</v>
      </c>
      <c r="R143" s="8">
        <v>7.2833333333333323</v>
      </c>
      <c r="S143" s="8">
        <v>6.3666666666666671</v>
      </c>
      <c r="T143" s="8">
        <v>65.706666666666663</v>
      </c>
    </row>
    <row r="144" spans="1:20" x14ac:dyDescent="0.3">
      <c r="A144" s="32" t="s">
        <v>31</v>
      </c>
      <c r="B144" s="27" t="s">
        <v>19</v>
      </c>
      <c r="C144" s="6" t="s">
        <v>62</v>
      </c>
      <c r="D144" s="6" t="s">
        <v>66</v>
      </c>
      <c r="E144" s="7">
        <v>74306</v>
      </c>
      <c r="F144" s="7" t="s">
        <v>47</v>
      </c>
      <c r="G144" s="7" t="s">
        <v>34</v>
      </c>
      <c r="H144" s="7" t="s">
        <v>35</v>
      </c>
      <c r="I144" s="5">
        <v>44355</v>
      </c>
      <c r="J144" s="7">
        <v>28</v>
      </c>
      <c r="K144" s="7" t="str">
        <f>CONCATENATE(D144,"_F",G144,"_BIM_",B144)</f>
        <v>TN_C0B_F1A_BIM_VI</v>
      </c>
      <c r="L144" s="8">
        <v>7.11</v>
      </c>
      <c r="M144" s="8">
        <v>7.39</v>
      </c>
      <c r="N144" s="8">
        <v>8.4700000000000006</v>
      </c>
      <c r="O144" s="8">
        <v>5.51</v>
      </c>
      <c r="P144" s="8">
        <v>7.7</v>
      </c>
      <c r="Q144" s="8">
        <v>6.71</v>
      </c>
      <c r="R144" s="8">
        <v>7.47</v>
      </c>
      <c r="S144" s="8">
        <v>6.93</v>
      </c>
      <c r="T144" s="8">
        <v>70.022000000000006</v>
      </c>
    </row>
    <row r="145" spans="1:20" x14ac:dyDescent="0.3">
      <c r="A145" s="32" t="s">
        <v>31</v>
      </c>
      <c r="B145" s="27" t="s">
        <v>19</v>
      </c>
      <c r="C145" s="6" t="s">
        <v>62</v>
      </c>
      <c r="D145" s="6" t="s">
        <v>67</v>
      </c>
      <c r="E145" s="7">
        <v>3347</v>
      </c>
      <c r="F145" s="7" t="s">
        <v>57</v>
      </c>
      <c r="G145" s="7" t="s">
        <v>34</v>
      </c>
      <c r="H145" s="7" t="s">
        <v>36</v>
      </c>
      <c r="I145" s="5">
        <v>44355</v>
      </c>
      <c r="J145" s="7">
        <v>28</v>
      </c>
      <c r="K145" s="7" t="str">
        <f>CONCATENATE(D145,"_F",G145,"_BIM_",B145)</f>
        <v>TN_C0C_F1A_BIM_VI</v>
      </c>
      <c r="L145" s="8">
        <v>6.53</v>
      </c>
      <c r="M145" s="8">
        <v>7.46</v>
      </c>
      <c r="N145" s="8">
        <v>6.57</v>
      </c>
      <c r="O145" s="8">
        <v>7.77</v>
      </c>
      <c r="P145" s="8">
        <v>6.29</v>
      </c>
      <c r="Q145" s="8">
        <v>6.34</v>
      </c>
      <c r="R145" s="8">
        <v>6.64</v>
      </c>
      <c r="S145" s="8">
        <v>6.23</v>
      </c>
      <c r="T145" s="8">
        <v>63.082999999999998</v>
      </c>
    </row>
    <row r="146" spans="1:20" x14ac:dyDescent="0.3">
      <c r="A146" s="32" t="s">
        <v>31</v>
      </c>
      <c r="B146" s="27" t="s">
        <v>19</v>
      </c>
      <c r="C146" s="6" t="s">
        <v>62</v>
      </c>
      <c r="D146" s="6" t="s">
        <v>72</v>
      </c>
      <c r="E146" s="7">
        <v>7536</v>
      </c>
      <c r="F146" s="7" t="s">
        <v>57</v>
      </c>
      <c r="G146" s="7" t="s">
        <v>34</v>
      </c>
      <c r="H146" s="7" t="s">
        <v>37</v>
      </c>
      <c r="I146" s="5">
        <v>44355</v>
      </c>
      <c r="J146" s="7">
        <v>28</v>
      </c>
      <c r="K146" s="7" t="str">
        <f>CONCATENATE(D146,"_F",G146,"_BIM_",B146)</f>
        <v>TN_C0G_F1A_BIM_VI</v>
      </c>
      <c r="L146" s="8">
        <v>7.51</v>
      </c>
      <c r="M146" s="8">
        <v>6.63</v>
      </c>
      <c r="N146" s="8">
        <v>5.94</v>
      </c>
      <c r="O146" s="8">
        <v>7.77</v>
      </c>
      <c r="P146" s="8">
        <v>7.3</v>
      </c>
      <c r="Q146" s="8">
        <v>6.41</v>
      </c>
      <c r="R146" s="8">
        <v>7.06</v>
      </c>
      <c r="S146" s="8">
        <v>6.5</v>
      </c>
      <c r="T146" s="8">
        <v>64.454999999999998</v>
      </c>
    </row>
    <row r="147" spans="1:20" x14ac:dyDescent="0.3">
      <c r="A147" s="32" t="s">
        <v>31</v>
      </c>
      <c r="B147" s="27" t="s">
        <v>19</v>
      </c>
      <c r="C147" s="6" t="s">
        <v>62</v>
      </c>
      <c r="D147" s="6" t="s">
        <v>73</v>
      </c>
      <c r="E147" s="7">
        <v>8939</v>
      </c>
      <c r="F147" s="7" t="s">
        <v>57</v>
      </c>
      <c r="G147" s="7" t="s">
        <v>34</v>
      </c>
      <c r="H147" s="7" t="s">
        <v>38</v>
      </c>
      <c r="I147" s="5">
        <v>44355</v>
      </c>
      <c r="J147" s="7">
        <v>28</v>
      </c>
      <c r="K147" s="7" t="str">
        <f>CONCATENATE(D147,"_F",G147,"_BIM_",B147)</f>
        <v>TN_C0H_F1A_BIM_VI</v>
      </c>
      <c r="L147" s="8">
        <v>6.69</v>
      </c>
      <c r="M147" s="8">
        <v>6.7</v>
      </c>
      <c r="N147" s="8">
        <v>8.1999999999999993</v>
      </c>
      <c r="O147" s="8">
        <v>5.93</v>
      </c>
      <c r="P147" s="8">
        <v>7.54</v>
      </c>
      <c r="Q147" s="8">
        <v>7.1</v>
      </c>
      <c r="R147" s="8">
        <v>7.47</v>
      </c>
      <c r="S147" s="8">
        <v>6.36</v>
      </c>
      <c r="T147" s="8">
        <v>68.978999999999999</v>
      </c>
    </row>
    <row r="148" spans="1:20" x14ac:dyDescent="0.3">
      <c r="A148" s="32" t="s">
        <v>31</v>
      </c>
      <c r="B148" s="27" t="s">
        <v>19</v>
      </c>
      <c r="C148" s="6" t="s">
        <v>62</v>
      </c>
      <c r="D148" s="6" t="s">
        <v>76</v>
      </c>
      <c r="E148" s="7">
        <v>15290</v>
      </c>
      <c r="F148" s="7" t="s">
        <v>57</v>
      </c>
      <c r="G148" s="7" t="s">
        <v>34</v>
      </c>
      <c r="H148" s="7" t="s">
        <v>42</v>
      </c>
      <c r="I148" s="5">
        <v>44355</v>
      </c>
      <c r="J148" s="7">
        <v>28</v>
      </c>
      <c r="K148" s="7" t="str">
        <f>CONCATENATE(D148,"_F",G148,"_BIM_",B148)</f>
        <v>TN_C0M_F1A_BIM_VI</v>
      </c>
      <c r="L148" s="8">
        <v>6.79</v>
      </c>
      <c r="M148" s="8">
        <v>7.2</v>
      </c>
      <c r="N148" s="8">
        <v>7.27</v>
      </c>
      <c r="O148" s="8">
        <v>6.83</v>
      </c>
      <c r="P148" s="8">
        <v>7.29</v>
      </c>
      <c r="Q148" s="8">
        <v>6.63</v>
      </c>
      <c r="R148" s="8">
        <v>7.33</v>
      </c>
      <c r="S148" s="8">
        <v>6.73</v>
      </c>
      <c r="T148" s="8">
        <v>67.220999999999989</v>
      </c>
    </row>
    <row r="149" spans="1:20" x14ac:dyDescent="0.3">
      <c r="A149" s="32" t="s">
        <v>31</v>
      </c>
      <c r="B149" s="27" t="s">
        <v>19</v>
      </c>
      <c r="C149" s="6" t="s">
        <v>62</v>
      </c>
      <c r="D149" s="6" t="s">
        <v>80</v>
      </c>
      <c r="E149" s="7">
        <v>23695</v>
      </c>
      <c r="F149" s="7" t="s">
        <v>57</v>
      </c>
      <c r="G149" s="7" t="s">
        <v>34</v>
      </c>
      <c r="H149" s="7" t="s">
        <v>44</v>
      </c>
      <c r="I149" s="5">
        <v>44355</v>
      </c>
      <c r="J149" s="7">
        <v>28</v>
      </c>
      <c r="K149" s="7" t="str">
        <f>CONCATENATE(D149,"_F",G149,"_BIM_",B149)</f>
        <v>TN_C0R_F1A_BIM_VI</v>
      </c>
      <c r="L149" s="8">
        <v>6.83</v>
      </c>
      <c r="M149" s="8">
        <v>7.79</v>
      </c>
      <c r="N149" s="8">
        <v>7.61</v>
      </c>
      <c r="O149" s="8">
        <v>6.26</v>
      </c>
      <c r="P149" s="8">
        <v>7.66</v>
      </c>
      <c r="Q149" s="8">
        <v>6.43</v>
      </c>
      <c r="R149" s="8">
        <v>7.26</v>
      </c>
      <c r="S149" s="8">
        <v>7.03</v>
      </c>
      <c r="T149" s="8">
        <v>68.391000000000005</v>
      </c>
    </row>
    <row r="150" spans="1:20" x14ac:dyDescent="0.3">
      <c r="A150" s="32" t="s">
        <v>31</v>
      </c>
      <c r="B150" s="27" t="s">
        <v>19</v>
      </c>
      <c r="C150" s="6" t="s">
        <v>62</v>
      </c>
      <c r="D150" s="6" t="s">
        <v>64</v>
      </c>
      <c r="E150" s="7">
        <v>99794</v>
      </c>
      <c r="F150" s="7" t="s">
        <v>61</v>
      </c>
      <c r="G150" s="7" t="s">
        <v>34</v>
      </c>
      <c r="H150" s="7" t="s">
        <v>35</v>
      </c>
      <c r="I150" s="5">
        <v>44362</v>
      </c>
      <c r="J150" s="7">
        <v>29</v>
      </c>
      <c r="K150" s="7" t="str">
        <f>CONCATENATE(D150,"_F",G150,"_BIM_",B150)</f>
        <v>TN_C0A_F1A_BIM_VI</v>
      </c>
      <c r="L150" s="8">
        <v>6.3</v>
      </c>
      <c r="M150" s="8">
        <v>5.17</v>
      </c>
      <c r="N150" s="8">
        <v>6.45</v>
      </c>
      <c r="O150" s="8">
        <v>7</v>
      </c>
      <c r="P150" s="8">
        <v>6.98</v>
      </c>
      <c r="Q150" s="8">
        <v>6.82</v>
      </c>
      <c r="R150" s="8">
        <v>7.03</v>
      </c>
      <c r="S150" s="8">
        <v>5.92</v>
      </c>
      <c r="T150" s="8">
        <v>62.485999999999997</v>
      </c>
    </row>
    <row r="151" spans="1:20" x14ac:dyDescent="0.3">
      <c r="A151" s="32" t="s">
        <v>31</v>
      </c>
      <c r="B151" s="27" t="s">
        <v>19</v>
      </c>
      <c r="C151" s="6" t="s">
        <v>62</v>
      </c>
      <c r="D151" s="6" t="s">
        <v>69</v>
      </c>
      <c r="E151" s="7">
        <v>73618</v>
      </c>
      <c r="F151" s="7" t="s">
        <v>58</v>
      </c>
      <c r="G151" s="7" t="s">
        <v>34</v>
      </c>
      <c r="H151" s="7" t="s">
        <v>36</v>
      </c>
      <c r="I151" s="5">
        <v>44362</v>
      </c>
      <c r="J151" s="7">
        <v>29</v>
      </c>
      <c r="K151" s="7" t="str">
        <f>CONCATENATE(D151,"_F",G151,"_BIM_",B151)</f>
        <v>TN_C0E_F1A_BIM_VI</v>
      </c>
      <c r="L151" s="8">
        <v>6.35</v>
      </c>
      <c r="M151" s="8">
        <v>7.15</v>
      </c>
      <c r="N151" s="8">
        <v>7.85</v>
      </c>
      <c r="O151" s="8">
        <v>6.85</v>
      </c>
      <c r="P151" s="8">
        <v>7.07</v>
      </c>
      <c r="Q151" s="8">
        <v>5.78</v>
      </c>
      <c r="R151" s="8">
        <v>6.15</v>
      </c>
      <c r="S151" s="8">
        <v>5.47</v>
      </c>
      <c r="T151" s="8">
        <v>63.449999999999996</v>
      </c>
    </row>
    <row r="152" spans="1:20" x14ac:dyDescent="0.3">
      <c r="A152" s="32" t="s">
        <v>31</v>
      </c>
      <c r="B152" s="27" t="s">
        <v>19</v>
      </c>
      <c r="C152" s="6" t="s">
        <v>62</v>
      </c>
      <c r="D152" s="6" t="s">
        <v>72</v>
      </c>
      <c r="E152" s="7">
        <v>7474</v>
      </c>
      <c r="F152" s="7" t="s">
        <v>57</v>
      </c>
      <c r="G152" s="7" t="s">
        <v>34</v>
      </c>
      <c r="H152" s="7" t="s">
        <v>37</v>
      </c>
      <c r="I152" s="5">
        <v>44362</v>
      </c>
      <c r="J152" s="7">
        <v>29</v>
      </c>
      <c r="K152" s="7" t="str">
        <f>CONCATENATE(D152,"_F",G152,"_BIM_",B152)</f>
        <v>TN_C0G_F1A_BIM_VI</v>
      </c>
      <c r="L152" s="8">
        <v>7.28</v>
      </c>
      <c r="M152" s="8">
        <v>6.5</v>
      </c>
      <c r="N152" s="8">
        <v>7.9</v>
      </c>
      <c r="O152" s="8">
        <v>6.13</v>
      </c>
      <c r="P152" s="8">
        <v>6.87</v>
      </c>
      <c r="Q152" s="8">
        <v>6.23</v>
      </c>
      <c r="R152" s="8">
        <v>6.72</v>
      </c>
      <c r="S152" s="8">
        <v>6.5</v>
      </c>
      <c r="T152" s="8">
        <v>64.92</v>
      </c>
    </row>
    <row r="153" spans="1:20" x14ac:dyDescent="0.3">
      <c r="A153" s="32" t="s">
        <v>31</v>
      </c>
      <c r="B153" s="27" t="s">
        <v>19</v>
      </c>
      <c r="C153" s="6" t="s">
        <v>62</v>
      </c>
      <c r="D153" s="6" t="s">
        <v>74</v>
      </c>
      <c r="E153" s="7">
        <v>9322</v>
      </c>
      <c r="F153" s="7" t="s">
        <v>57</v>
      </c>
      <c r="G153" s="7" t="s">
        <v>34</v>
      </c>
      <c r="H153" s="7" t="s">
        <v>38</v>
      </c>
      <c r="I153" s="5">
        <v>44362</v>
      </c>
      <c r="J153" s="7">
        <v>29</v>
      </c>
      <c r="K153" s="7" t="str">
        <f>CONCATENATE(D153,"_F",G153,"_BIM_",B153)</f>
        <v>TN_C0I_F1A_BIM_VI</v>
      </c>
      <c r="L153" s="8">
        <v>6.12</v>
      </c>
      <c r="M153" s="8">
        <v>6.67</v>
      </c>
      <c r="N153" s="8">
        <v>6.03</v>
      </c>
      <c r="O153" s="8">
        <v>6.5</v>
      </c>
      <c r="P153" s="8">
        <v>6.57</v>
      </c>
      <c r="Q153" s="8">
        <v>6.77</v>
      </c>
      <c r="R153" s="8">
        <v>6.97</v>
      </c>
      <c r="S153" s="8">
        <v>6.45</v>
      </c>
      <c r="T153" s="8">
        <v>62.24499999999999</v>
      </c>
    </row>
    <row r="154" spans="1:20" x14ac:dyDescent="0.3">
      <c r="A154" s="32" t="s">
        <v>31</v>
      </c>
      <c r="B154" s="27" t="s">
        <v>19</v>
      </c>
      <c r="C154" s="6" t="s">
        <v>62</v>
      </c>
      <c r="D154" s="6" t="s">
        <v>77</v>
      </c>
      <c r="E154" s="7">
        <v>16365</v>
      </c>
      <c r="F154" s="7" t="s">
        <v>57</v>
      </c>
      <c r="G154" s="7" t="s">
        <v>34</v>
      </c>
      <c r="H154" s="7" t="s">
        <v>42</v>
      </c>
      <c r="I154" s="5">
        <v>44362</v>
      </c>
      <c r="J154" s="7">
        <v>29</v>
      </c>
      <c r="K154" s="7" t="str">
        <f>CONCATENATE(D154,"_F",G154,"_BIM_",B154)</f>
        <v>TN_C0O_F1A_BIM_VI</v>
      </c>
      <c r="L154" s="8">
        <v>7.2</v>
      </c>
      <c r="M154" s="8">
        <v>7.87</v>
      </c>
      <c r="N154" s="8">
        <v>7.28</v>
      </c>
      <c r="O154" s="8">
        <v>6.78</v>
      </c>
      <c r="P154" s="8">
        <v>7.52</v>
      </c>
      <c r="Q154" s="8">
        <v>7.33</v>
      </c>
      <c r="R154" s="8">
        <v>7.77</v>
      </c>
      <c r="S154" s="8">
        <v>7</v>
      </c>
      <c r="T154" s="8">
        <v>70.587999999999994</v>
      </c>
    </row>
    <row r="155" spans="1:20" x14ac:dyDescent="0.3">
      <c r="A155" s="32" t="s">
        <v>31</v>
      </c>
      <c r="B155" s="27" t="s">
        <v>19</v>
      </c>
      <c r="C155" s="6" t="s">
        <v>62</v>
      </c>
      <c r="D155" s="6" t="s">
        <v>79</v>
      </c>
      <c r="E155" s="7">
        <v>86389</v>
      </c>
      <c r="F155" s="7" t="s">
        <v>58</v>
      </c>
      <c r="G155" s="7" t="s">
        <v>41</v>
      </c>
      <c r="H155" s="7" t="s">
        <v>44</v>
      </c>
      <c r="I155" s="5">
        <v>44362</v>
      </c>
      <c r="J155" s="7">
        <v>29</v>
      </c>
      <c r="K155" s="7" t="str">
        <f>CONCATENATE(D155,"_F",G155,"_BIM_",B155)</f>
        <v>TN_C0Q_F1B_BIM_VI</v>
      </c>
      <c r="L155" s="8">
        <v>7.02</v>
      </c>
      <c r="M155" s="8">
        <v>6.65</v>
      </c>
      <c r="N155" s="8">
        <v>7.52</v>
      </c>
      <c r="O155" s="8">
        <v>6.27</v>
      </c>
      <c r="P155" s="8">
        <v>7.13</v>
      </c>
      <c r="Q155" s="8">
        <v>6.88</v>
      </c>
      <c r="R155" s="8">
        <v>7.05</v>
      </c>
      <c r="S155" s="8">
        <v>7.02</v>
      </c>
      <c r="T155" s="8">
        <v>66.72</v>
      </c>
    </row>
    <row r="156" spans="1:20" x14ac:dyDescent="0.3">
      <c r="A156" s="32" t="s">
        <v>31</v>
      </c>
      <c r="B156" s="27" t="s">
        <v>19</v>
      </c>
      <c r="C156" s="6" t="s">
        <v>62</v>
      </c>
      <c r="D156" s="6" t="s">
        <v>64</v>
      </c>
      <c r="E156" s="7">
        <v>44770</v>
      </c>
      <c r="F156" s="7" t="s">
        <v>63</v>
      </c>
      <c r="G156" s="7" t="s">
        <v>39</v>
      </c>
      <c r="H156" s="7" t="s">
        <v>35</v>
      </c>
      <c r="I156" s="5">
        <v>44734</v>
      </c>
      <c r="J156" s="7">
        <v>30</v>
      </c>
      <c r="K156" s="7" t="str">
        <f>CONCATENATE(D156,"_F",G156,"_BIM_",B156)</f>
        <v>TN_C0A_F2A_BIM_VI</v>
      </c>
      <c r="L156" s="8">
        <v>6.47</v>
      </c>
      <c r="M156" s="8">
        <v>5.53</v>
      </c>
      <c r="N156" s="8">
        <v>6.17</v>
      </c>
      <c r="O156" s="8">
        <v>6.77</v>
      </c>
      <c r="P156" s="8">
        <v>7.29</v>
      </c>
      <c r="Q156" s="8">
        <v>6.97</v>
      </c>
      <c r="R156" s="8">
        <v>7.16</v>
      </c>
      <c r="S156" s="8">
        <v>6.19</v>
      </c>
      <c r="T156" s="8">
        <v>63.471999999999994</v>
      </c>
    </row>
    <row r="157" spans="1:20" x14ac:dyDescent="0.3">
      <c r="A157" s="32" t="s">
        <v>31</v>
      </c>
      <c r="B157" s="27" t="s">
        <v>19</v>
      </c>
      <c r="C157" s="6" t="s">
        <v>62</v>
      </c>
      <c r="D157" s="6" t="s">
        <v>67</v>
      </c>
      <c r="E157" s="7">
        <v>2944</v>
      </c>
      <c r="F157" s="7" t="s">
        <v>57</v>
      </c>
      <c r="G157" s="7" t="s">
        <v>39</v>
      </c>
      <c r="H157" s="7" t="s">
        <v>36</v>
      </c>
      <c r="I157" s="5">
        <v>44734</v>
      </c>
      <c r="J157" s="7">
        <v>30</v>
      </c>
      <c r="K157" s="7" t="str">
        <f>CONCATENATE(D157,"_F",G157,"_BIM_",B157)</f>
        <v>TN_C0C_F2A_BIM_VI</v>
      </c>
      <c r="L157" s="8">
        <v>7.01</v>
      </c>
      <c r="M157" s="8">
        <v>7.26</v>
      </c>
      <c r="N157" s="8">
        <v>7.44</v>
      </c>
      <c r="O157" s="8">
        <v>8.0299999999999994</v>
      </c>
      <c r="P157" s="8">
        <v>6.54</v>
      </c>
      <c r="Q157" s="8">
        <v>6.34</v>
      </c>
      <c r="R157" s="8">
        <v>6.41</v>
      </c>
      <c r="S157" s="8">
        <v>6.57</v>
      </c>
      <c r="T157" s="8">
        <v>65.009999999999991</v>
      </c>
    </row>
    <row r="158" spans="1:20" x14ac:dyDescent="0.3">
      <c r="A158" s="32" t="s">
        <v>31</v>
      </c>
      <c r="B158" s="27" t="s">
        <v>19</v>
      </c>
      <c r="C158" s="6" t="s">
        <v>62</v>
      </c>
      <c r="D158" s="6" t="s">
        <v>69</v>
      </c>
      <c r="E158" s="7">
        <v>73676</v>
      </c>
      <c r="F158" s="7" t="s">
        <v>58</v>
      </c>
      <c r="G158" s="7" t="s">
        <v>54</v>
      </c>
      <c r="H158" s="7" t="s">
        <v>37</v>
      </c>
      <c r="I158" s="5">
        <v>44734</v>
      </c>
      <c r="J158" s="7">
        <v>30</v>
      </c>
      <c r="K158" s="7" t="str">
        <f>CONCATENATE(D158,"_F",G158,"_BIM_",B158)</f>
        <v>TN_C0E_F2B_BIM_VI</v>
      </c>
      <c r="L158" s="8">
        <v>6.03</v>
      </c>
      <c r="M158" s="8">
        <v>7.54</v>
      </c>
      <c r="N158" s="8">
        <v>7.24</v>
      </c>
      <c r="O158" s="8">
        <v>6.71</v>
      </c>
      <c r="P158" s="8">
        <v>7.59</v>
      </c>
      <c r="Q158" s="8">
        <v>5.86</v>
      </c>
      <c r="R158" s="8">
        <v>6.39</v>
      </c>
      <c r="S158" s="8">
        <v>6.07</v>
      </c>
      <c r="T158" s="8">
        <v>64.254999999999995</v>
      </c>
    </row>
    <row r="159" spans="1:20" x14ac:dyDescent="0.3">
      <c r="A159" s="32" t="s">
        <v>31</v>
      </c>
      <c r="B159" s="27" t="s">
        <v>19</v>
      </c>
      <c r="C159" s="6" t="s">
        <v>62</v>
      </c>
      <c r="D159" s="6" t="s">
        <v>76</v>
      </c>
      <c r="E159" s="7">
        <v>78786</v>
      </c>
      <c r="F159" s="7" t="s">
        <v>58</v>
      </c>
      <c r="G159" s="7" t="s">
        <v>34</v>
      </c>
      <c r="H159" s="7" t="s">
        <v>38</v>
      </c>
      <c r="I159" s="5">
        <v>44734</v>
      </c>
      <c r="J159" s="7">
        <v>30</v>
      </c>
      <c r="K159" s="7" t="str">
        <f>CONCATENATE(D159,"_F",G159,"_BIM_",B159)</f>
        <v>TN_C0M_F1A_BIM_VI</v>
      </c>
      <c r="L159" s="8">
        <v>6.31</v>
      </c>
      <c r="M159" s="8">
        <v>4.67</v>
      </c>
      <c r="N159" s="8">
        <v>6.44</v>
      </c>
      <c r="O159" s="8">
        <v>6.09</v>
      </c>
      <c r="P159" s="8">
        <v>6.81</v>
      </c>
      <c r="Q159" s="8">
        <v>6.91</v>
      </c>
      <c r="R159" s="8">
        <v>6.84</v>
      </c>
      <c r="S159" s="8">
        <v>5.56</v>
      </c>
      <c r="T159" s="8">
        <v>60.79</v>
      </c>
    </row>
    <row r="160" spans="1:20" x14ac:dyDescent="0.3">
      <c r="A160" s="32" t="s">
        <v>31</v>
      </c>
      <c r="B160" s="27" t="s">
        <v>19</v>
      </c>
      <c r="C160" s="6" t="s">
        <v>62</v>
      </c>
      <c r="D160" s="6" t="s">
        <v>76</v>
      </c>
      <c r="E160" s="7">
        <v>15020</v>
      </c>
      <c r="F160" s="7" t="s">
        <v>57</v>
      </c>
      <c r="G160" s="7" t="s">
        <v>39</v>
      </c>
      <c r="H160" s="7" t="s">
        <v>42</v>
      </c>
      <c r="I160" s="5">
        <v>44734</v>
      </c>
      <c r="J160" s="7">
        <v>30</v>
      </c>
      <c r="K160" s="7" t="str">
        <f>CONCATENATE(D160,"_F",G160,"_BIM_",B160)</f>
        <v>TN_C0M_F2A_BIM_VI</v>
      </c>
      <c r="L160" s="8">
        <v>7.59</v>
      </c>
      <c r="M160" s="8">
        <v>7.7</v>
      </c>
      <c r="N160" s="8">
        <v>7.76</v>
      </c>
      <c r="O160" s="8">
        <v>6.79</v>
      </c>
      <c r="P160" s="8">
        <v>7.09</v>
      </c>
      <c r="Q160" s="8">
        <v>6.41</v>
      </c>
      <c r="R160" s="8">
        <v>7.16</v>
      </c>
      <c r="S160" s="8">
        <v>6.89</v>
      </c>
      <c r="T160" s="8">
        <v>68.086999999999989</v>
      </c>
    </row>
    <row r="161" spans="1:20" x14ac:dyDescent="0.3">
      <c r="A161" s="32" t="s">
        <v>31</v>
      </c>
      <c r="B161" s="27" t="s">
        <v>19</v>
      </c>
      <c r="C161" s="6" t="s">
        <v>62</v>
      </c>
      <c r="D161" s="6" t="s">
        <v>79</v>
      </c>
      <c r="E161" s="7">
        <v>86441</v>
      </c>
      <c r="F161" s="7" t="s">
        <v>58</v>
      </c>
      <c r="G161" s="7" t="s">
        <v>39</v>
      </c>
      <c r="H161" s="7" t="s">
        <v>44</v>
      </c>
      <c r="I161" s="5">
        <v>44734</v>
      </c>
      <c r="J161" s="7">
        <v>30</v>
      </c>
      <c r="K161" s="7" t="str">
        <f>CONCATENATE(D161,"_F",G161,"_BIM_",B161)</f>
        <v>TN_C0Q_F2A_BIM_VI</v>
      </c>
      <c r="L161" s="8">
        <v>7.17</v>
      </c>
      <c r="M161" s="8">
        <v>6.89</v>
      </c>
      <c r="N161" s="8">
        <v>7.86</v>
      </c>
      <c r="O161" s="8">
        <v>5.84</v>
      </c>
      <c r="P161" s="8">
        <v>7.43</v>
      </c>
      <c r="Q161" s="8">
        <v>6.89</v>
      </c>
      <c r="R161" s="8">
        <v>6.73</v>
      </c>
      <c r="S161" s="8">
        <v>7.37</v>
      </c>
      <c r="T161" s="8">
        <v>67.528000000000006</v>
      </c>
    </row>
    <row r="162" spans="1:20" x14ac:dyDescent="0.3">
      <c r="A162" s="32" t="s">
        <v>31</v>
      </c>
      <c r="B162" s="27" t="s">
        <v>19</v>
      </c>
      <c r="C162" s="6" t="s">
        <v>62</v>
      </c>
      <c r="D162" s="6" t="s">
        <v>64</v>
      </c>
      <c r="E162" s="7">
        <v>44095</v>
      </c>
      <c r="F162" s="7" t="s">
        <v>63</v>
      </c>
      <c r="G162" s="7" t="s">
        <v>55</v>
      </c>
      <c r="H162" s="7" t="s">
        <v>35</v>
      </c>
      <c r="I162" s="5">
        <v>44376</v>
      </c>
      <c r="J162" s="7">
        <v>31</v>
      </c>
      <c r="K162" s="7" t="str">
        <f>CONCATENATE(D162,"_F",G162,"_BIM_",B162)</f>
        <v>TN_C0A_F3B_BIM_VI</v>
      </c>
      <c r="L162" s="8">
        <v>7.3444444444444441</v>
      </c>
      <c r="M162" s="8">
        <v>5.7555555555555555</v>
      </c>
      <c r="N162" s="8">
        <v>6.7555555555555564</v>
      </c>
      <c r="O162" s="8">
        <v>7.7222222222222223</v>
      </c>
      <c r="P162" s="8">
        <v>6.7777777777777786</v>
      </c>
      <c r="Q162" s="8">
        <v>6.7555555555555564</v>
      </c>
      <c r="R162" s="8">
        <v>6.9555555555555548</v>
      </c>
      <c r="S162" s="8">
        <v>6.5666666666666664</v>
      </c>
      <c r="T162" s="8">
        <v>64.39444444444446</v>
      </c>
    </row>
    <row r="163" spans="1:20" x14ac:dyDescent="0.3">
      <c r="A163" s="32" t="s">
        <v>31</v>
      </c>
      <c r="B163" s="27" t="s">
        <v>19</v>
      </c>
      <c r="C163" s="6" t="s">
        <v>62</v>
      </c>
      <c r="D163" s="6" t="s">
        <v>67</v>
      </c>
      <c r="E163" s="7">
        <v>3459</v>
      </c>
      <c r="F163" s="7" t="s">
        <v>57</v>
      </c>
      <c r="G163" s="7" t="s">
        <v>43</v>
      </c>
      <c r="H163" s="7" t="s">
        <v>36</v>
      </c>
      <c r="I163" s="5">
        <v>44376</v>
      </c>
      <c r="J163" s="7">
        <v>31</v>
      </c>
      <c r="K163" s="7" t="str">
        <f>CONCATENATE(D163,"_F",G163,"_BIM_",B163)</f>
        <v>TN_C0C_F3A_BIM_VI</v>
      </c>
      <c r="L163" s="8">
        <v>6.9444444444444446</v>
      </c>
      <c r="M163" s="8">
        <v>7.8999999999999995</v>
      </c>
      <c r="N163" s="8">
        <v>6.844444444444445</v>
      </c>
      <c r="O163" s="8">
        <v>7.2222222222222223</v>
      </c>
      <c r="P163" s="8">
        <v>7.0777777777777775</v>
      </c>
      <c r="Q163" s="8">
        <v>6.7666666666666666</v>
      </c>
      <c r="R163" s="8">
        <v>7.2222222222222223</v>
      </c>
      <c r="S163" s="8">
        <v>7.3222222222222229</v>
      </c>
      <c r="T163" s="8">
        <v>67.509999999999991</v>
      </c>
    </row>
    <row r="164" spans="1:20" x14ac:dyDescent="0.3">
      <c r="A164" s="32" t="s">
        <v>31</v>
      </c>
      <c r="B164" s="27" t="s">
        <v>19</v>
      </c>
      <c r="C164" s="6" t="s">
        <v>62</v>
      </c>
      <c r="D164" s="6" t="s">
        <v>71</v>
      </c>
      <c r="E164" s="7">
        <v>91154</v>
      </c>
      <c r="F164" s="7" t="s">
        <v>47</v>
      </c>
      <c r="G164" s="7" t="s">
        <v>34</v>
      </c>
      <c r="H164" s="7" t="s">
        <v>37</v>
      </c>
      <c r="I164" s="5">
        <v>44731</v>
      </c>
      <c r="J164" s="7">
        <v>31</v>
      </c>
      <c r="K164" s="7" t="str">
        <f>CONCATENATE(D164,"_F",G164,"_BIM_",B164)</f>
        <v>TN_C0F_F1A_BIM_VI</v>
      </c>
      <c r="L164" s="8">
        <v>7.2888888888888879</v>
      </c>
      <c r="M164" s="8">
        <v>7.8444444444444441</v>
      </c>
      <c r="N164" s="8">
        <v>6.7222222222222223</v>
      </c>
      <c r="O164" s="8">
        <v>6.0666666666666664</v>
      </c>
      <c r="P164" s="8">
        <v>7.5777777777777784</v>
      </c>
      <c r="Q164" s="8">
        <v>6.7444444444444436</v>
      </c>
      <c r="R164" s="8">
        <v>7.4333333333333336</v>
      </c>
      <c r="S164" s="8">
        <v>7.155555555555555</v>
      </c>
      <c r="T164" s="8">
        <v>67.847777777777779</v>
      </c>
    </row>
    <row r="165" spans="1:20" x14ac:dyDescent="0.3">
      <c r="A165" s="32" t="s">
        <v>31</v>
      </c>
      <c r="B165" s="27" t="s">
        <v>19</v>
      </c>
      <c r="C165" s="6" t="s">
        <v>62</v>
      </c>
      <c r="D165" s="6" t="s">
        <v>75</v>
      </c>
      <c r="E165" s="7">
        <v>6703</v>
      </c>
      <c r="F165" s="7" t="s">
        <v>49</v>
      </c>
      <c r="G165" s="7" t="s">
        <v>34</v>
      </c>
      <c r="H165" s="7" t="s">
        <v>38</v>
      </c>
      <c r="I165" s="5">
        <v>44731</v>
      </c>
      <c r="J165" s="7">
        <v>31</v>
      </c>
      <c r="K165" s="7" t="str">
        <f>CONCATENATE(D165,"_F",G165,"_BIM_",B165)</f>
        <v>TN_C0L_F1A_BIM_VI</v>
      </c>
      <c r="L165" s="8">
        <v>7.0333333333333332</v>
      </c>
      <c r="M165" s="8">
        <v>5.4444444444444455</v>
      </c>
      <c r="N165" s="8">
        <v>7.844444444444445</v>
      </c>
      <c r="O165" s="8">
        <v>7.833333333333333</v>
      </c>
      <c r="P165" s="8">
        <v>7.3444444444444441</v>
      </c>
      <c r="Q165" s="8">
        <v>6.4666666666666659</v>
      </c>
      <c r="R165" s="8">
        <v>6.9888888888888889</v>
      </c>
      <c r="S165" s="8">
        <v>6.6666666666666679</v>
      </c>
      <c r="T165" s="8">
        <v>66.393333333333331</v>
      </c>
    </row>
    <row r="166" spans="1:20" x14ac:dyDescent="0.3">
      <c r="A166" s="32" t="s">
        <v>31</v>
      </c>
      <c r="B166" s="27" t="s">
        <v>19</v>
      </c>
      <c r="C166" s="6" t="s">
        <v>62</v>
      </c>
      <c r="D166" s="6" t="s">
        <v>76</v>
      </c>
      <c r="E166" s="7">
        <v>79014</v>
      </c>
      <c r="F166" s="7" t="s">
        <v>58</v>
      </c>
      <c r="G166" s="7" t="s">
        <v>54</v>
      </c>
      <c r="H166" s="7" t="s">
        <v>42</v>
      </c>
      <c r="I166" s="5">
        <v>44731</v>
      </c>
      <c r="J166" s="7">
        <v>31</v>
      </c>
      <c r="K166" s="7" t="str">
        <f>CONCATENATE(D166,"_F",G166,"_BIM_",B166)</f>
        <v>TN_C0M_F2B_BIM_VI</v>
      </c>
      <c r="L166" s="8">
        <v>6.9000000000000012</v>
      </c>
      <c r="M166" s="8">
        <v>5.6111111111111107</v>
      </c>
      <c r="N166" s="8">
        <v>6.7888888888888888</v>
      </c>
      <c r="O166" s="8">
        <v>5.9222222222222216</v>
      </c>
      <c r="P166" s="8">
        <v>6.9777777777777779</v>
      </c>
      <c r="Q166" s="8">
        <v>7.1888888888888891</v>
      </c>
      <c r="R166" s="8">
        <v>6.7444444444444436</v>
      </c>
      <c r="S166" s="8">
        <v>6.0444444444444443</v>
      </c>
      <c r="T166" s="8">
        <v>63.416666666666671</v>
      </c>
    </row>
    <row r="167" spans="1:20" x14ac:dyDescent="0.3">
      <c r="A167" s="7" t="s">
        <v>31</v>
      </c>
      <c r="B167" s="7" t="s">
        <v>19</v>
      </c>
      <c r="C167" s="7" t="s">
        <v>62</v>
      </c>
      <c r="D167" s="7" t="s">
        <v>78</v>
      </c>
      <c r="E167" s="29">
        <v>83639</v>
      </c>
      <c r="F167" s="29" t="s">
        <v>58</v>
      </c>
      <c r="G167" s="7" t="s">
        <v>34</v>
      </c>
      <c r="H167" s="7" t="s">
        <v>44</v>
      </c>
      <c r="I167" s="5">
        <v>44731</v>
      </c>
      <c r="J167" s="7">
        <v>31</v>
      </c>
      <c r="K167" s="7" t="str">
        <f>CONCATENATE(D167,"_F",G167,"_BIM_",B167)</f>
        <v>TN_C0P_F1A_BIM_VI</v>
      </c>
      <c r="L167" s="8">
        <v>7.5333333333333332</v>
      </c>
      <c r="M167" s="8">
        <v>7.6777777777777771</v>
      </c>
      <c r="N167" s="8">
        <v>6.4999999999999991</v>
      </c>
      <c r="O167" s="8">
        <v>8.18888888888889</v>
      </c>
      <c r="P167" s="8">
        <v>5.8666666666666663</v>
      </c>
      <c r="Q167" s="8">
        <v>6.5777777777777775</v>
      </c>
      <c r="R167" s="8">
        <v>6.4666666666666668</v>
      </c>
      <c r="S167" s="8">
        <v>6.6111111111111107</v>
      </c>
      <c r="T167" s="8">
        <v>63.615555555555552</v>
      </c>
    </row>
    <row r="168" spans="1:20" x14ac:dyDescent="0.3">
      <c r="A168" s="32"/>
    </row>
    <row r="169" spans="1:20" x14ac:dyDescent="0.3">
      <c r="A169"/>
    </row>
    <row r="170" spans="1:20" x14ac:dyDescent="0.3">
      <c r="A170"/>
    </row>
    <row r="171" spans="1:20" x14ac:dyDescent="0.3">
      <c r="A171"/>
    </row>
    <row r="172" spans="1:20" x14ac:dyDescent="0.3">
      <c r="A172"/>
    </row>
    <row r="173" spans="1:20" x14ac:dyDescent="0.3">
      <c r="A173"/>
    </row>
    <row r="174" spans="1:20" x14ac:dyDescent="0.3">
      <c r="A174"/>
    </row>
    <row r="175" spans="1:20" x14ac:dyDescent="0.3">
      <c r="A175"/>
    </row>
    <row r="176" spans="1:20" x14ac:dyDescent="0.3">
      <c r="A176"/>
    </row>
    <row r="177" spans="1:1" x14ac:dyDescent="0.3">
      <c r="A177"/>
    </row>
    <row r="178" spans="1:1" x14ac:dyDescent="0.3">
      <c r="A178"/>
    </row>
  </sheetData>
  <conditionalFormatting sqref="H6:H9">
    <cfRule type="cellIs" dxfId="11" priority="6" operator="equal">
      <formula>"SI"</formula>
    </cfRule>
    <cfRule type="cellIs" dxfId="10" priority="7" operator="equal">
      <formula>"NO"</formula>
    </cfRule>
  </conditionalFormatting>
  <conditionalFormatting sqref="L2:S15 P16:S21 L22:S42">
    <cfRule type="cellIs" dxfId="9" priority="8" operator="equal">
      <formula>"N/A"</formula>
    </cfRule>
  </conditionalFormatting>
  <conditionalFormatting sqref="L62:S63">
    <cfRule type="cellIs" dxfId="8" priority="4" operator="equal">
      <formula>"N/A"</formula>
    </cfRule>
  </conditionalFormatting>
  <conditionalFormatting sqref="L43:T56">
    <cfRule type="cellIs" dxfId="7" priority="5" operator="equal">
      <formula>"N/A"</formula>
    </cfRule>
  </conditionalFormatting>
  <conditionalFormatting sqref="L64:T112">
    <cfRule type="cellIs" dxfId="6" priority="2" operator="equal">
      <formula>"N/A"</formula>
    </cfRule>
  </conditionalFormatting>
  <conditionalFormatting sqref="T13 L16:N21 T35:T42">
    <cfRule type="cellIs" dxfId="5" priority="9" operator="equal">
      <formula>"N/A"</formula>
    </cfRule>
  </conditionalFormatting>
  <conditionalFormatting sqref="T57:T63">
    <cfRule type="cellIs" dxfId="4" priority="3" operator="equal">
      <formula>"N/A"</formula>
    </cfRule>
  </conditionalFormatting>
  <conditionalFormatting sqref="T113:T167">
    <cfRule type="cellIs" dxfId="3" priority="1" operator="equal">
      <formula>"N/A"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3CDB0-2FA3-4569-8D38-83F74598E02C}">
  <dimension ref="A1:O265"/>
  <sheetViews>
    <sheetView tabSelected="1" workbookViewId="0">
      <pane ySplit="1" topLeftCell="A2" activePane="bottomLeft" state="frozen"/>
      <selection pane="bottomLeft" activeCell="E16" sqref="E16"/>
    </sheetView>
  </sheetViews>
  <sheetFormatPr defaultRowHeight="14.4" x14ac:dyDescent="0.3"/>
  <cols>
    <col min="1" max="1" width="15.33203125" customWidth="1"/>
    <col min="3" max="4" width="12.88671875" customWidth="1"/>
    <col min="5" max="5" width="12.88671875" style="6" customWidth="1"/>
    <col min="6" max="6" width="18.6640625" customWidth="1"/>
    <col min="7" max="7" width="12.6640625" customWidth="1"/>
    <col min="8" max="8" width="17.5546875" customWidth="1"/>
    <col min="9" max="9" width="10.5546875" bestFit="1" customWidth="1"/>
    <col min="10" max="10" width="10.5546875" customWidth="1"/>
    <col min="15" max="15" width="16.44140625" customWidth="1"/>
    <col min="19" max="19" width="10.6640625" bestFit="1" customWidth="1"/>
  </cols>
  <sheetData>
    <row r="1" spans="1:15" ht="39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18</v>
      </c>
      <c r="F1" s="1" t="s">
        <v>4</v>
      </c>
      <c r="G1" s="3" t="s">
        <v>9</v>
      </c>
      <c r="H1" s="3" t="s">
        <v>10</v>
      </c>
      <c r="I1" s="3" t="s">
        <v>11</v>
      </c>
      <c r="J1" s="3"/>
      <c r="K1" s="2" t="s">
        <v>5</v>
      </c>
      <c r="L1" s="2" t="s">
        <v>6</v>
      </c>
      <c r="M1" s="2" t="s">
        <v>7</v>
      </c>
      <c r="N1" s="2" t="s">
        <v>8</v>
      </c>
      <c r="O1" s="4" t="s">
        <v>12</v>
      </c>
    </row>
    <row r="2" spans="1:15" x14ac:dyDescent="0.3">
      <c r="A2" s="5" t="s">
        <v>64</v>
      </c>
      <c r="B2" s="6">
        <v>3</v>
      </c>
      <c r="C2" s="6" t="s">
        <v>13</v>
      </c>
      <c r="D2" s="5">
        <v>44104</v>
      </c>
      <c r="E2" s="6">
        <v>5</v>
      </c>
      <c r="F2" s="7" t="str">
        <f t="shared" ref="F2:F65" si="0">CONCATENATE(A2,"_F",B2,"_BIM_",C2)</f>
        <v>TN_C0A_F3_BIM_I</v>
      </c>
      <c r="G2" s="8">
        <v>7.290909090909091</v>
      </c>
      <c r="H2" s="8">
        <v>7.3181818181818183</v>
      </c>
      <c r="I2" s="8">
        <v>7.4272727272727259</v>
      </c>
      <c r="J2" s="8"/>
      <c r="K2" s="8">
        <v>6.8818181818181818</v>
      </c>
      <c r="L2" s="8">
        <v>6.9090909090909092</v>
      </c>
      <c r="M2" s="8">
        <v>7.1454545454545464</v>
      </c>
      <c r="N2" s="8">
        <v>6.3181818181818183</v>
      </c>
      <c r="O2" s="8">
        <v>67.591818181818184</v>
      </c>
    </row>
    <row r="3" spans="1:15" x14ac:dyDescent="0.3">
      <c r="A3" s="5" t="s">
        <v>64</v>
      </c>
      <c r="B3" s="6">
        <v>1</v>
      </c>
      <c r="C3" s="6" t="s">
        <v>14</v>
      </c>
      <c r="D3" s="5">
        <v>44125</v>
      </c>
      <c r="E3" s="6">
        <v>8</v>
      </c>
      <c r="F3" s="7" t="str">
        <f t="shared" si="0"/>
        <v>TN_C0A_F1_BIM_II</v>
      </c>
      <c r="G3" s="8">
        <v>6.6846153846153848</v>
      </c>
      <c r="H3" s="8">
        <v>6.4846153846153847</v>
      </c>
      <c r="I3" s="8">
        <v>6.5615384615384613</v>
      </c>
      <c r="J3" s="8"/>
      <c r="K3" s="8">
        <v>6.7461538461538462</v>
      </c>
      <c r="L3" s="8">
        <v>7.4153846153846157</v>
      </c>
      <c r="M3" s="8">
        <v>7.5615384615384604</v>
      </c>
      <c r="N3" s="8">
        <v>7.7833333333333341</v>
      </c>
      <c r="O3" s="8">
        <v>65.965641025641034</v>
      </c>
    </row>
    <row r="4" spans="1:15" x14ac:dyDescent="0.3">
      <c r="A4" s="5" t="s">
        <v>64</v>
      </c>
      <c r="B4" s="6">
        <v>3</v>
      </c>
      <c r="C4" s="6" t="s">
        <v>14</v>
      </c>
      <c r="D4" s="5">
        <v>44132</v>
      </c>
      <c r="E4" s="6">
        <v>9</v>
      </c>
      <c r="F4" s="7" t="str">
        <f t="shared" si="0"/>
        <v>TN_C0A_F3_BIM_II</v>
      </c>
      <c r="G4" s="8">
        <v>7.3583333333333334</v>
      </c>
      <c r="H4" s="8">
        <v>6.9307692307692301</v>
      </c>
      <c r="I4" s="8">
        <v>7.2538461538461547</v>
      </c>
      <c r="J4" s="8"/>
      <c r="K4" s="8">
        <v>6.7538461538461538</v>
      </c>
      <c r="L4" s="8">
        <v>6.7615384615384624</v>
      </c>
      <c r="M4" s="8">
        <v>7.6230769230769235</v>
      </c>
      <c r="N4" s="8">
        <v>8.209090909090909</v>
      </c>
      <c r="O4" s="8">
        <v>68.950565268065262</v>
      </c>
    </row>
    <row r="5" spans="1:15" x14ac:dyDescent="0.3">
      <c r="A5" s="5" t="s">
        <v>64</v>
      </c>
      <c r="B5" s="6">
        <v>3</v>
      </c>
      <c r="C5" s="6" t="s">
        <v>14</v>
      </c>
      <c r="D5" s="5">
        <v>44139</v>
      </c>
      <c r="E5" s="6">
        <v>10</v>
      </c>
      <c r="F5" s="7" t="str">
        <f t="shared" si="0"/>
        <v>TN_C0A_F3_BIM_II</v>
      </c>
      <c r="G5" s="8">
        <v>7.172727272727272</v>
      </c>
      <c r="H5" s="8">
        <v>6.8181818181818166</v>
      </c>
      <c r="I5" s="8">
        <v>6.9181818181818189</v>
      </c>
      <c r="J5" s="8"/>
      <c r="K5" s="8">
        <v>7.0636363636363635</v>
      </c>
      <c r="L5" s="8">
        <v>7.4727272727272727</v>
      </c>
      <c r="M5" s="8">
        <v>8.1909090909090914</v>
      </c>
      <c r="N5" s="8">
        <v>6.51</v>
      </c>
      <c r="O5" s="8">
        <v>67.921818181818182</v>
      </c>
    </row>
    <row r="6" spans="1:15" x14ac:dyDescent="0.3">
      <c r="A6" s="10" t="s">
        <v>64</v>
      </c>
      <c r="B6" s="6">
        <v>1</v>
      </c>
      <c r="C6" s="6" t="s">
        <v>15</v>
      </c>
      <c r="D6" s="5">
        <v>44154</v>
      </c>
      <c r="E6" s="6">
        <v>11</v>
      </c>
      <c r="F6" s="7" t="str">
        <f t="shared" si="0"/>
        <v>TN_C0A_F1_BIM_III</v>
      </c>
      <c r="G6" s="8">
        <v>7.63</v>
      </c>
      <c r="H6" s="8">
        <v>7.2200000000000006</v>
      </c>
      <c r="I6" s="8">
        <v>7.5</v>
      </c>
      <c r="J6" s="8"/>
      <c r="K6" s="8">
        <v>7.3</v>
      </c>
      <c r="L6" s="8">
        <v>7.69</v>
      </c>
      <c r="M6" s="8">
        <v>7.19</v>
      </c>
      <c r="N6" s="8">
        <v>5.8333333333333348</v>
      </c>
      <c r="O6" s="8">
        <v>68.887333333333345</v>
      </c>
    </row>
    <row r="7" spans="1:15" x14ac:dyDescent="0.3">
      <c r="A7" s="5" t="s">
        <v>64</v>
      </c>
      <c r="B7" s="6">
        <v>2</v>
      </c>
      <c r="C7" s="6" t="s">
        <v>15</v>
      </c>
      <c r="D7" s="5">
        <v>44174</v>
      </c>
      <c r="E7" s="6">
        <v>14</v>
      </c>
      <c r="F7" s="7" t="str">
        <f t="shared" si="0"/>
        <v>TN_C0A_F2_BIM_III</v>
      </c>
      <c r="G7" s="8">
        <v>6.9999999999999982</v>
      </c>
      <c r="H7" s="8">
        <v>6.57</v>
      </c>
      <c r="I7" s="8">
        <v>6.7699999999999987</v>
      </c>
      <c r="J7" s="8"/>
      <c r="K7" s="8">
        <v>7.01</v>
      </c>
      <c r="L7" s="8">
        <v>7.0200000000000005</v>
      </c>
      <c r="M7" s="8">
        <v>7.4600000000000009</v>
      </c>
      <c r="N7" s="8">
        <v>6.0272727272727273</v>
      </c>
      <c r="O7" s="8">
        <v>64.990272727272725</v>
      </c>
    </row>
    <row r="8" spans="1:15" x14ac:dyDescent="0.3">
      <c r="A8" s="5" t="s">
        <v>64</v>
      </c>
      <c r="B8" s="6">
        <v>3</v>
      </c>
      <c r="C8" s="6" t="s">
        <v>15</v>
      </c>
      <c r="D8" s="5">
        <v>44183</v>
      </c>
      <c r="E8" s="6">
        <v>16</v>
      </c>
      <c r="F8" s="7" t="str">
        <f t="shared" si="0"/>
        <v>TN_C0A_F3_BIM_III</v>
      </c>
      <c r="G8" s="8">
        <v>7.254545454545454</v>
      </c>
      <c r="H8" s="9">
        <v>6.5909090909090908</v>
      </c>
      <c r="I8" s="9">
        <v>7.172727272727272</v>
      </c>
      <c r="J8" s="9"/>
      <c r="K8" s="9">
        <v>7.2363636363636354</v>
      </c>
      <c r="L8" s="9">
        <v>7.3727272727272721</v>
      </c>
      <c r="M8" s="9">
        <v>7.8727272727272721</v>
      </c>
      <c r="N8" s="9">
        <v>7.7</v>
      </c>
      <c r="O8" s="9">
        <v>68.933636363636353</v>
      </c>
    </row>
    <row r="9" spans="1:15" x14ac:dyDescent="0.3">
      <c r="A9" s="5" t="s">
        <v>64</v>
      </c>
      <c r="B9" s="6">
        <v>1</v>
      </c>
      <c r="C9" s="6" t="s">
        <v>16</v>
      </c>
      <c r="D9" s="5">
        <v>44209</v>
      </c>
      <c r="E9" s="6">
        <v>17</v>
      </c>
      <c r="F9" s="7" t="str">
        <f t="shared" si="0"/>
        <v>TN_C0A_F1_BIM_IV</v>
      </c>
      <c r="G9" s="8">
        <v>7.2363636363636354</v>
      </c>
      <c r="H9" s="9">
        <v>6.8909090909090907</v>
      </c>
      <c r="I9" s="9">
        <v>7.0909090909090908</v>
      </c>
      <c r="J9" s="9"/>
      <c r="K9" s="9">
        <v>7.0909090909090908</v>
      </c>
      <c r="L9" s="9">
        <v>5.963636363636363</v>
      </c>
      <c r="M9" s="9">
        <v>7.0272727272727282</v>
      </c>
      <c r="N9" s="9">
        <v>7.0454545454545459</v>
      </c>
      <c r="O9" s="9">
        <v>65.99545454545455</v>
      </c>
    </row>
    <row r="10" spans="1:15" x14ac:dyDescent="0.3">
      <c r="A10" s="5" t="s">
        <v>64</v>
      </c>
      <c r="B10" s="6">
        <v>2</v>
      </c>
      <c r="C10" s="6" t="s">
        <v>16</v>
      </c>
      <c r="D10" s="5">
        <v>44216</v>
      </c>
      <c r="E10" s="6">
        <v>18</v>
      </c>
      <c r="F10" s="7" t="str">
        <f t="shared" si="0"/>
        <v>TN_C0A_F2_BIM_IV</v>
      </c>
      <c r="G10" s="9">
        <v>7.8000000000000007</v>
      </c>
      <c r="H10" s="9">
        <v>7.1111111111111107</v>
      </c>
      <c r="I10" s="9">
        <v>7.2555555555555564</v>
      </c>
      <c r="J10" s="9"/>
      <c r="K10" s="9">
        <v>7.0444444444444452</v>
      </c>
      <c r="L10" s="9">
        <v>7.1888888888888873</v>
      </c>
      <c r="M10" s="9">
        <v>7.8777777777777782</v>
      </c>
      <c r="N10" s="9">
        <v>6.5272727272727273</v>
      </c>
      <c r="O10" s="9">
        <v>69.396161616161621</v>
      </c>
    </row>
    <row r="11" spans="1:15" x14ac:dyDescent="0.3">
      <c r="A11" s="5" t="s">
        <v>64</v>
      </c>
      <c r="B11" s="6">
        <v>2</v>
      </c>
      <c r="C11" s="6" t="s">
        <v>16</v>
      </c>
      <c r="D11" s="5">
        <v>44230</v>
      </c>
      <c r="E11" s="6">
        <v>20</v>
      </c>
      <c r="F11" s="7" t="str">
        <f t="shared" si="0"/>
        <v>TN_C0A_F2_BIM_IV</v>
      </c>
      <c r="G11" s="9">
        <v>6.6333333333333329</v>
      </c>
      <c r="H11" s="9">
        <v>6.9333333333333336</v>
      </c>
      <c r="I11" s="9">
        <v>6.5555555555555554</v>
      </c>
      <c r="J11" s="9"/>
      <c r="K11" s="9">
        <v>6.977777777777777</v>
      </c>
      <c r="L11" s="9">
        <v>7.833333333333333</v>
      </c>
      <c r="M11" s="9">
        <v>8.0888888888888886</v>
      </c>
      <c r="N11" s="9">
        <v>6.6</v>
      </c>
      <c r="O11" s="9">
        <v>66.827777777777783</v>
      </c>
    </row>
    <row r="12" spans="1:15" x14ac:dyDescent="0.3">
      <c r="A12" s="5" t="s">
        <v>64</v>
      </c>
      <c r="B12" s="6">
        <v>1</v>
      </c>
      <c r="C12" s="6" t="s">
        <v>17</v>
      </c>
      <c r="D12" s="5">
        <v>44244</v>
      </c>
      <c r="E12" s="6">
        <v>22</v>
      </c>
      <c r="F12" s="7" t="str">
        <f t="shared" si="0"/>
        <v>TN_C0A_F1_BIM_V</v>
      </c>
      <c r="G12" s="9">
        <v>7.5999999999999988</v>
      </c>
      <c r="H12" s="9">
        <v>7.0444444444444434</v>
      </c>
      <c r="I12" s="9">
        <v>7.2777777777777777</v>
      </c>
      <c r="J12" s="9"/>
      <c r="K12" s="9">
        <v>7.4333333333333336</v>
      </c>
      <c r="L12" s="9">
        <v>7.3777777777777782</v>
      </c>
      <c r="M12" s="9">
        <v>7.4111111111111114</v>
      </c>
      <c r="N12" s="9">
        <v>7.45</v>
      </c>
      <c r="O12" s="9">
        <v>69.867777777777775</v>
      </c>
    </row>
    <row r="13" spans="1:15" x14ac:dyDescent="0.3">
      <c r="A13" s="5" t="s">
        <v>64</v>
      </c>
      <c r="B13" s="6">
        <v>2</v>
      </c>
      <c r="C13" s="6" t="s">
        <v>17</v>
      </c>
      <c r="D13" s="5">
        <v>44251</v>
      </c>
      <c r="E13" s="6">
        <v>23</v>
      </c>
      <c r="F13" s="7" t="str">
        <f t="shared" si="0"/>
        <v>TN_C0A_F2_BIM_V</v>
      </c>
      <c r="G13" s="9">
        <v>7.14</v>
      </c>
      <c r="H13" s="9">
        <v>6.99</v>
      </c>
      <c r="I13" s="9">
        <v>7.16</v>
      </c>
      <c r="J13" s="9"/>
      <c r="K13" s="9">
        <v>7.09</v>
      </c>
      <c r="L13" s="9">
        <v>6.74</v>
      </c>
      <c r="M13" s="9">
        <v>7.73</v>
      </c>
      <c r="N13" s="9">
        <v>6.93</v>
      </c>
      <c r="O13" s="9">
        <v>67.701000000000008</v>
      </c>
    </row>
    <row r="14" spans="1:15" x14ac:dyDescent="0.3">
      <c r="A14" s="5" t="s">
        <v>64</v>
      </c>
      <c r="B14" s="6">
        <v>3</v>
      </c>
      <c r="C14" s="6" t="s">
        <v>17</v>
      </c>
      <c r="D14" s="5">
        <v>44258</v>
      </c>
      <c r="E14" s="6">
        <v>24</v>
      </c>
      <c r="F14" s="7" t="str">
        <f t="shared" si="0"/>
        <v>TN_C0A_F3_BIM_V</v>
      </c>
      <c r="G14" s="9">
        <v>7.65</v>
      </c>
      <c r="H14" s="9">
        <v>7.19</v>
      </c>
      <c r="I14" s="9">
        <v>7.28</v>
      </c>
      <c r="J14" s="9"/>
      <c r="K14" s="9">
        <v>7.51</v>
      </c>
      <c r="L14" s="9">
        <v>7.68</v>
      </c>
      <c r="M14" s="9">
        <v>7.46</v>
      </c>
      <c r="N14" s="9">
        <v>5.74</v>
      </c>
      <c r="O14" s="9">
        <v>68.951000000000008</v>
      </c>
    </row>
    <row r="15" spans="1:15" x14ac:dyDescent="0.3">
      <c r="A15" s="5" t="s">
        <v>64</v>
      </c>
      <c r="B15" s="6">
        <v>1</v>
      </c>
      <c r="C15" s="6" t="s">
        <v>19</v>
      </c>
      <c r="D15" s="5">
        <v>44279</v>
      </c>
      <c r="E15" s="6">
        <v>27</v>
      </c>
      <c r="F15" s="7" t="str">
        <f t="shared" si="0"/>
        <v>TN_C0A_F1_BIM_VI</v>
      </c>
      <c r="G15" s="9">
        <v>7.4</v>
      </c>
      <c r="H15" s="9">
        <v>7.3555555555555499</v>
      </c>
      <c r="I15" s="9">
        <v>7.4222222222222198</v>
      </c>
      <c r="J15" s="9"/>
      <c r="K15" s="9">
        <v>6.7222222222222197</v>
      </c>
      <c r="L15" s="9">
        <v>6.5111111111111102</v>
      </c>
      <c r="M15" s="9">
        <v>6.0222222222222204</v>
      </c>
      <c r="N15" s="9">
        <v>6.6400000000000006</v>
      </c>
      <c r="O15" s="9">
        <v>66.139999999999972</v>
      </c>
    </row>
    <row r="16" spans="1:15" x14ac:dyDescent="0.3">
      <c r="A16" s="5" t="s">
        <v>64</v>
      </c>
      <c r="B16" s="6">
        <v>2</v>
      </c>
      <c r="C16" s="6" t="s">
        <v>19</v>
      </c>
      <c r="D16" s="5">
        <v>44286</v>
      </c>
      <c r="E16" s="6">
        <v>28</v>
      </c>
      <c r="F16" s="7" t="str">
        <f t="shared" si="0"/>
        <v>TN_C0A_F2_BIM_VI</v>
      </c>
      <c r="G16" s="9">
        <v>7.3699999999999992</v>
      </c>
      <c r="H16" s="9">
        <v>7.35</v>
      </c>
      <c r="I16" s="9">
        <v>7.45</v>
      </c>
      <c r="J16" s="9"/>
      <c r="K16" s="9">
        <v>7.5399999999999991</v>
      </c>
      <c r="L16" s="9">
        <v>6.7200000000000006</v>
      </c>
      <c r="M16" s="9">
        <v>6.44</v>
      </c>
      <c r="N16" s="9">
        <v>5.69</v>
      </c>
      <c r="O16" s="9">
        <v>66.746000000000009</v>
      </c>
    </row>
    <row r="17" spans="1:15" x14ac:dyDescent="0.3">
      <c r="A17" s="5" t="s">
        <v>64</v>
      </c>
      <c r="B17" s="6">
        <v>3</v>
      </c>
      <c r="C17" s="6" t="s">
        <v>19</v>
      </c>
      <c r="D17" s="5">
        <v>44293</v>
      </c>
      <c r="E17" s="6">
        <v>29</v>
      </c>
      <c r="F17" s="7" t="str">
        <f t="shared" si="0"/>
        <v>TN_C0A_F3_BIM_VI</v>
      </c>
      <c r="G17" s="9">
        <v>7.1777777777777771</v>
      </c>
      <c r="H17" s="9">
        <v>7.4222222222222216</v>
      </c>
      <c r="I17" s="9">
        <v>7.2444444444444436</v>
      </c>
      <c r="J17" s="9"/>
      <c r="K17" s="9">
        <v>6.9111111111111114</v>
      </c>
      <c r="L17" s="9">
        <v>6.4666666666666659</v>
      </c>
      <c r="M17" s="9">
        <v>6.3555555555555561</v>
      </c>
      <c r="N17" s="9">
        <v>7.1999999999999993</v>
      </c>
      <c r="O17" s="9">
        <v>66.717777777777769</v>
      </c>
    </row>
    <row r="18" spans="1:15" x14ac:dyDescent="0.3">
      <c r="A18" s="5" t="s">
        <v>65</v>
      </c>
      <c r="B18" s="6">
        <v>1</v>
      </c>
      <c r="C18" s="6" t="s">
        <v>13</v>
      </c>
      <c r="D18" s="5">
        <v>44097</v>
      </c>
      <c r="E18" s="6">
        <v>4</v>
      </c>
      <c r="F18" s="7" t="str">
        <f t="shared" si="0"/>
        <v>TN_C0A _F1_BIM_I</v>
      </c>
      <c r="G18" s="8">
        <v>7.523076923076923</v>
      </c>
      <c r="H18" s="8">
        <v>6.884615384615385</v>
      </c>
      <c r="I18" s="8">
        <v>7.4846153846153847</v>
      </c>
      <c r="J18" s="8"/>
      <c r="K18" s="8">
        <v>7.6230769230769235</v>
      </c>
      <c r="L18" s="8">
        <v>7.8230769230769219</v>
      </c>
      <c r="M18" s="8">
        <v>7.9230769230769234</v>
      </c>
      <c r="N18" s="8">
        <v>5.9545454545454541</v>
      </c>
      <c r="O18" s="8">
        <v>69.606083916083918</v>
      </c>
    </row>
    <row r="19" spans="1:15" x14ac:dyDescent="0.3">
      <c r="A19" s="5" t="s">
        <v>65</v>
      </c>
      <c r="B19" s="6">
        <v>2</v>
      </c>
      <c r="C19" s="6" t="s">
        <v>13</v>
      </c>
      <c r="D19" s="5">
        <v>44097</v>
      </c>
      <c r="E19" s="6">
        <v>4</v>
      </c>
      <c r="F19" s="7" t="str">
        <f t="shared" si="0"/>
        <v>TN_C0A _F2_BIM_I</v>
      </c>
      <c r="G19" s="8">
        <v>7.2153846153846155</v>
      </c>
      <c r="H19" s="8">
        <v>6.9538461538461531</v>
      </c>
      <c r="I19" s="8">
        <v>6.930769230769231</v>
      </c>
      <c r="J19" s="8"/>
      <c r="K19" s="8">
        <v>7.2307692307692317</v>
      </c>
      <c r="L19" s="8">
        <v>7.6230769230769235</v>
      </c>
      <c r="M19" s="8">
        <v>7.5923076923076929</v>
      </c>
      <c r="N19" s="8">
        <v>6.418181818181818</v>
      </c>
      <c r="O19" s="8">
        <v>67.707412587412591</v>
      </c>
    </row>
    <row r="20" spans="1:15" x14ac:dyDescent="0.3">
      <c r="A20" s="5" t="s">
        <v>66</v>
      </c>
      <c r="B20" s="6">
        <v>1</v>
      </c>
      <c r="C20" s="6" t="s">
        <v>13</v>
      </c>
      <c r="D20" s="5">
        <v>44090</v>
      </c>
      <c r="E20" s="6">
        <v>3</v>
      </c>
      <c r="F20" s="7" t="str">
        <f t="shared" si="0"/>
        <v>TN_C0B_F1_BIM_I</v>
      </c>
      <c r="G20" s="8">
        <v>6.1</v>
      </c>
      <c r="H20" s="8">
        <v>6.47</v>
      </c>
      <c r="I20" s="8">
        <v>6.13</v>
      </c>
      <c r="J20" s="8"/>
      <c r="K20" s="8">
        <v>7.89</v>
      </c>
      <c r="L20" s="8">
        <v>7.42</v>
      </c>
      <c r="M20" s="8">
        <v>7.97</v>
      </c>
      <c r="N20" s="8">
        <v>7.67</v>
      </c>
      <c r="O20" s="8">
        <v>65.77</v>
      </c>
    </row>
    <row r="21" spans="1:15" x14ac:dyDescent="0.3">
      <c r="A21" s="11" t="s">
        <v>66</v>
      </c>
      <c r="B21" s="6">
        <v>1</v>
      </c>
      <c r="C21" s="6" t="s">
        <v>14</v>
      </c>
      <c r="D21" s="5">
        <v>44118</v>
      </c>
      <c r="E21" s="6">
        <v>7</v>
      </c>
      <c r="F21" s="7" t="str">
        <f t="shared" si="0"/>
        <v>TN_C0B_F1_BIM_II</v>
      </c>
      <c r="G21" s="8">
        <v>7.3583333333333334</v>
      </c>
      <c r="H21" s="8">
        <v>6.9666666666666659</v>
      </c>
      <c r="I21" s="8">
        <v>6.8416666666666677</v>
      </c>
      <c r="J21" s="8"/>
      <c r="K21" s="8">
        <v>7.875</v>
      </c>
      <c r="L21" s="8">
        <v>7.3083333333333327</v>
      </c>
      <c r="M21" s="8">
        <v>7.916666666666667</v>
      </c>
      <c r="N21" s="8">
        <v>7.1461538461538465</v>
      </c>
      <c r="O21" s="8">
        <v>69.301153846153852</v>
      </c>
    </row>
    <row r="22" spans="1:15" x14ac:dyDescent="0.3">
      <c r="A22" s="5" t="s">
        <v>66</v>
      </c>
      <c r="B22" s="6">
        <v>1</v>
      </c>
      <c r="C22" s="6" t="s">
        <v>15</v>
      </c>
      <c r="D22" s="5">
        <v>44181</v>
      </c>
      <c r="E22" s="6">
        <v>15</v>
      </c>
      <c r="F22" s="7" t="str">
        <f t="shared" si="0"/>
        <v>TN_C0B_F1_BIM_III</v>
      </c>
      <c r="G22" s="8">
        <v>7.3818181818181818</v>
      </c>
      <c r="H22" s="8">
        <v>7.3636363636363633</v>
      </c>
      <c r="I22" s="8">
        <v>7.1090909090909093</v>
      </c>
      <c r="J22" s="8"/>
      <c r="K22" s="8">
        <v>7.8363636363636351</v>
      </c>
      <c r="L22" s="8">
        <v>7.8272727272727272</v>
      </c>
      <c r="M22" s="8">
        <v>8.172727272727272</v>
      </c>
      <c r="N22" s="8">
        <v>6.9909090909090912</v>
      </c>
      <c r="O22" s="8">
        <v>71.168181818181807</v>
      </c>
    </row>
    <row r="23" spans="1:15" x14ac:dyDescent="0.3">
      <c r="A23" s="5" t="s">
        <v>66</v>
      </c>
      <c r="B23" s="6">
        <v>1</v>
      </c>
      <c r="C23" s="6" t="s">
        <v>16</v>
      </c>
      <c r="D23" s="5">
        <v>44209</v>
      </c>
      <c r="E23" s="6">
        <v>17</v>
      </c>
      <c r="F23" s="7" t="str">
        <f t="shared" si="0"/>
        <v>TN_C0B_F1_BIM_IV</v>
      </c>
      <c r="G23" s="8">
        <v>6.8545454545454554</v>
      </c>
      <c r="H23" s="9">
        <v>7.0272727272727273</v>
      </c>
      <c r="I23" s="9">
        <v>6.7454545454545443</v>
      </c>
      <c r="J23" s="9"/>
      <c r="K23" s="9">
        <v>7.0727272727272723</v>
      </c>
      <c r="L23" s="9">
        <v>7.4090909090909092</v>
      </c>
      <c r="M23" s="9">
        <v>6.5363636363636353</v>
      </c>
      <c r="N23" s="9">
        <v>6.5636363636363635</v>
      </c>
      <c r="O23" s="9">
        <v>65.311818181818182</v>
      </c>
    </row>
    <row r="24" spans="1:15" x14ac:dyDescent="0.3">
      <c r="A24" s="5" t="s">
        <v>66</v>
      </c>
      <c r="B24" s="6">
        <v>1</v>
      </c>
      <c r="C24" s="6" t="s">
        <v>17</v>
      </c>
      <c r="D24" s="5">
        <v>44251</v>
      </c>
      <c r="E24" s="6">
        <v>23</v>
      </c>
      <c r="F24" s="7" t="str">
        <f t="shared" si="0"/>
        <v>TN_C0B_F1_BIM_V</v>
      </c>
      <c r="G24" s="9">
        <v>6.73</v>
      </c>
      <c r="H24" s="9">
        <v>7.4399999999999897</v>
      </c>
      <c r="I24" s="9">
        <v>7.05</v>
      </c>
      <c r="J24" s="9"/>
      <c r="K24" s="9">
        <v>7.32</v>
      </c>
      <c r="L24" s="9">
        <v>7.13</v>
      </c>
      <c r="M24" s="9">
        <v>6.54</v>
      </c>
      <c r="N24" s="9">
        <v>5.88</v>
      </c>
      <c r="O24" s="9">
        <v>65.649999999999977</v>
      </c>
    </row>
    <row r="25" spans="1:15" x14ac:dyDescent="0.3">
      <c r="A25" s="5" t="s">
        <v>66</v>
      </c>
      <c r="B25" s="6">
        <v>1</v>
      </c>
      <c r="C25" s="6" t="s">
        <v>19</v>
      </c>
      <c r="D25" s="5">
        <v>44293</v>
      </c>
      <c r="E25" s="6">
        <v>29</v>
      </c>
      <c r="F25" s="7" t="str">
        <f t="shared" si="0"/>
        <v>TN_C0B_F1_BIM_VI</v>
      </c>
      <c r="G25" s="9">
        <v>7.1888888888888873</v>
      </c>
      <c r="H25" s="9">
        <v>7.0888888888888886</v>
      </c>
      <c r="I25" s="9">
        <v>7.2777777777777777</v>
      </c>
      <c r="J25" s="9"/>
      <c r="K25" s="9">
        <v>6.511111111111112</v>
      </c>
      <c r="L25" s="9">
        <v>5.4777777777777779</v>
      </c>
      <c r="M25" s="9">
        <v>7.1888888888888873</v>
      </c>
      <c r="N25" s="9">
        <v>6.9555555555555566</v>
      </c>
      <c r="O25" s="9">
        <v>65.643333333333331</v>
      </c>
    </row>
    <row r="26" spans="1:15" x14ac:dyDescent="0.3">
      <c r="A26" s="5" t="s">
        <v>67</v>
      </c>
      <c r="B26" s="6">
        <v>1</v>
      </c>
      <c r="C26" s="6" t="s">
        <v>13</v>
      </c>
      <c r="D26" s="5">
        <v>44083</v>
      </c>
      <c r="E26" s="6">
        <v>2</v>
      </c>
      <c r="F26" s="7" t="str">
        <f t="shared" si="0"/>
        <v>TN_C0C_F1_BIM_I</v>
      </c>
      <c r="G26" s="8">
        <v>7.3</v>
      </c>
      <c r="H26" s="8">
        <v>7.172727272727272</v>
      </c>
      <c r="I26" s="8">
        <v>7.209090909090909</v>
      </c>
      <c r="J26" s="8"/>
      <c r="K26" s="8">
        <v>6.9363636363636374</v>
      </c>
      <c r="L26" s="8">
        <v>5.709090909090909</v>
      </c>
      <c r="M26" s="8">
        <v>6.4818181818181815</v>
      </c>
      <c r="N26" s="8">
        <v>7.8272727272727272</v>
      </c>
      <c r="O26" s="8">
        <v>66.475454545454539</v>
      </c>
    </row>
    <row r="27" spans="1:15" x14ac:dyDescent="0.3">
      <c r="A27" s="5" t="s">
        <v>67</v>
      </c>
      <c r="B27" s="6">
        <v>2</v>
      </c>
      <c r="C27" s="6" t="s">
        <v>13</v>
      </c>
      <c r="D27" s="5">
        <v>44090</v>
      </c>
      <c r="E27" s="6">
        <v>3</v>
      </c>
      <c r="F27" s="7" t="str">
        <f t="shared" si="0"/>
        <v>TN_C0C_F2_BIM_I</v>
      </c>
      <c r="G27" s="8">
        <v>7.37</v>
      </c>
      <c r="H27" s="8">
        <v>7.12</v>
      </c>
      <c r="I27" s="8">
        <v>6.72</v>
      </c>
      <c r="J27" s="8"/>
      <c r="K27" s="9">
        <v>6.96</v>
      </c>
      <c r="L27" s="9">
        <v>7.21</v>
      </c>
      <c r="M27" s="9">
        <v>7.38</v>
      </c>
      <c r="N27" s="9">
        <v>7.67</v>
      </c>
      <c r="O27" s="9">
        <v>68.2</v>
      </c>
    </row>
    <row r="28" spans="1:15" x14ac:dyDescent="0.3">
      <c r="A28" s="5" t="s">
        <v>67</v>
      </c>
      <c r="B28" s="6">
        <v>3</v>
      </c>
      <c r="C28" s="6" t="s">
        <v>13</v>
      </c>
      <c r="D28" s="5">
        <v>44104</v>
      </c>
      <c r="E28" s="6">
        <v>5</v>
      </c>
      <c r="F28" s="7" t="str">
        <f t="shared" si="0"/>
        <v>TN_C0C_F3_BIM_I</v>
      </c>
      <c r="G28" s="8">
        <v>7.245454545454546</v>
      </c>
      <c r="H28" s="8">
        <v>7.036363636363637</v>
      </c>
      <c r="I28" s="8">
        <v>7.290909090909091</v>
      </c>
      <c r="J28" s="8"/>
      <c r="K28" s="9">
        <v>7.3818181818181809</v>
      </c>
      <c r="L28" s="9">
        <v>7.7181818181818187</v>
      </c>
      <c r="M28" s="9">
        <v>7.2454545454545443</v>
      </c>
      <c r="N28" s="9">
        <v>8.1454545454545446</v>
      </c>
      <c r="O28" s="9">
        <v>70.041818181818172</v>
      </c>
    </row>
    <row r="29" spans="1:15" x14ac:dyDescent="0.3">
      <c r="A29" s="5" t="s">
        <v>67</v>
      </c>
      <c r="B29" s="6">
        <v>1</v>
      </c>
      <c r="C29" s="6" t="s">
        <v>14</v>
      </c>
      <c r="D29" s="5">
        <v>44113</v>
      </c>
      <c r="E29" s="6">
        <v>6</v>
      </c>
      <c r="F29" s="7" t="str">
        <f t="shared" si="0"/>
        <v>TN_C0C_F1_BIM_II</v>
      </c>
      <c r="G29" s="8">
        <v>7.5545454545454538</v>
      </c>
      <c r="H29" s="8">
        <v>7.3999999999999995</v>
      </c>
      <c r="I29" s="8">
        <v>7.4454545454545462</v>
      </c>
      <c r="J29" s="8"/>
      <c r="K29" s="8">
        <v>7.1272727272727261</v>
      </c>
      <c r="L29" s="8">
        <v>5.5363636363636362</v>
      </c>
      <c r="M29" s="8">
        <v>7.3363636363636369</v>
      </c>
      <c r="N29" s="8">
        <v>8.5</v>
      </c>
      <c r="O29" s="8">
        <v>69.5209090909091</v>
      </c>
    </row>
    <row r="30" spans="1:15" x14ac:dyDescent="0.3">
      <c r="A30" s="5" t="s">
        <v>67</v>
      </c>
      <c r="B30" s="6">
        <v>2</v>
      </c>
      <c r="C30" s="6" t="s">
        <v>14</v>
      </c>
      <c r="D30" s="5">
        <v>44118</v>
      </c>
      <c r="E30" s="6">
        <v>7</v>
      </c>
      <c r="F30" s="7" t="str">
        <f t="shared" si="0"/>
        <v>TN_C0C_F2_BIM_II</v>
      </c>
      <c r="G30" s="8">
        <v>7.6999999999999993</v>
      </c>
      <c r="H30" s="8">
        <v>7.4833333333333334</v>
      </c>
      <c r="I30" s="8">
        <v>7.6749999999999998</v>
      </c>
      <c r="J30" s="8"/>
      <c r="K30" s="8">
        <v>7.0249999999999995</v>
      </c>
      <c r="L30" s="8">
        <v>6.6916666666666673</v>
      </c>
      <c r="M30" s="8">
        <v>6.8500000000000005</v>
      </c>
      <c r="N30" s="8">
        <v>7.9692307692307685</v>
      </c>
      <c r="O30" s="8">
        <v>70.198397435897434</v>
      </c>
    </row>
    <row r="31" spans="1:15" x14ac:dyDescent="0.3">
      <c r="A31" s="5" t="s">
        <v>67</v>
      </c>
      <c r="B31" s="6">
        <v>3</v>
      </c>
      <c r="C31" s="6" t="s">
        <v>14</v>
      </c>
      <c r="D31" s="5">
        <v>44132</v>
      </c>
      <c r="E31" s="6">
        <v>9</v>
      </c>
      <c r="F31" s="7" t="str">
        <f t="shared" si="0"/>
        <v>TN_C0C_F3_BIM_II</v>
      </c>
      <c r="G31" s="8">
        <v>7</v>
      </c>
      <c r="H31" s="8">
        <v>6.8833333333333337</v>
      </c>
      <c r="I31" s="8">
        <v>7.2666666666666666</v>
      </c>
      <c r="J31" s="8"/>
      <c r="K31" s="8">
        <v>6.9333333333333336</v>
      </c>
      <c r="L31" s="8">
        <v>6.0500000000000007</v>
      </c>
      <c r="M31" s="8">
        <v>6.125</v>
      </c>
      <c r="N31" s="8">
        <v>8.5272727272727291</v>
      </c>
      <c r="O31" s="8">
        <v>66.116439393939402</v>
      </c>
    </row>
    <row r="32" spans="1:15" x14ac:dyDescent="0.3">
      <c r="A32" s="5" t="s">
        <v>67</v>
      </c>
      <c r="B32" s="6">
        <v>1</v>
      </c>
      <c r="C32" s="6" t="s">
        <v>15</v>
      </c>
      <c r="D32" s="5">
        <v>44154</v>
      </c>
      <c r="E32" s="6">
        <v>11</v>
      </c>
      <c r="F32" s="7" t="str">
        <f t="shared" si="0"/>
        <v>TN_C0C_F1_BIM_III</v>
      </c>
      <c r="G32" s="8">
        <v>7.3699999999999992</v>
      </c>
      <c r="H32" s="8">
        <v>6.95</v>
      </c>
      <c r="I32" s="8">
        <v>6.93</v>
      </c>
      <c r="J32" s="8"/>
      <c r="K32" s="8">
        <v>7.2799999999999994</v>
      </c>
      <c r="L32" s="8">
        <v>6.87</v>
      </c>
      <c r="M32" s="8">
        <v>7.25</v>
      </c>
      <c r="N32" s="8">
        <v>7.9250000000000007</v>
      </c>
      <c r="O32" s="8">
        <v>68.319999999999993</v>
      </c>
    </row>
    <row r="33" spans="1:15" x14ac:dyDescent="0.3">
      <c r="A33" s="5" t="s">
        <v>67</v>
      </c>
      <c r="B33" s="6">
        <v>2</v>
      </c>
      <c r="C33" s="6" t="s">
        <v>15</v>
      </c>
      <c r="D33" s="5">
        <v>44160</v>
      </c>
      <c r="E33" s="6">
        <v>12</v>
      </c>
      <c r="F33" s="7" t="str">
        <f t="shared" si="0"/>
        <v>TN_C0C_F2_BIM_III</v>
      </c>
      <c r="G33" s="8">
        <v>7.4416666666666664</v>
      </c>
      <c r="H33" s="8">
        <v>7.0249999999999995</v>
      </c>
      <c r="I33" s="8">
        <v>7.3083333333333336</v>
      </c>
      <c r="J33" s="8"/>
      <c r="K33" s="8">
        <v>7.4833333333333334</v>
      </c>
      <c r="L33" s="8">
        <v>6.3</v>
      </c>
      <c r="M33" s="8">
        <v>6.6750000000000007</v>
      </c>
      <c r="N33" s="8">
        <v>7.57</v>
      </c>
      <c r="O33" s="8">
        <v>67.750833333333333</v>
      </c>
    </row>
    <row r="34" spans="1:15" x14ac:dyDescent="0.3">
      <c r="A34" s="5" t="s">
        <v>67</v>
      </c>
      <c r="B34" s="6">
        <v>3</v>
      </c>
      <c r="C34" s="6" t="s">
        <v>15</v>
      </c>
      <c r="D34" s="5">
        <v>44174</v>
      </c>
      <c r="E34" s="6">
        <v>14</v>
      </c>
      <c r="F34" s="7" t="str">
        <f t="shared" si="0"/>
        <v>TN_C0C_F3_BIM_III</v>
      </c>
      <c r="G34" s="8">
        <v>6.9</v>
      </c>
      <c r="H34" s="8">
        <v>6.87</v>
      </c>
      <c r="I34" s="8">
        <v>6.8899999999999988</v>
      </c>
      <c r="J34" s="8"/>
      <c r="K34" s="8">
        <v>7</v>
      </c>
      <c r="L34" s="8">
        <v>6.01</v>
      </c>
      <c r="M34" s="8">
        <v>7.18</v>
      </c>
      <c r="N34" s="8">
        <v>7.7818181818181813</v>
      </c>
      <c r="O34" s="8">
        <v>65.934818181818173</v>
      </c>
    </row>
    <row r="35" spans="1:15" x14ac:dyDescent="0.3">
      <c r="A35" s="5" t="s">
        <v>67</v>
      </c>
      <c r="B35" s="6">
        <v>1</v>
      </c>
      <c r="C35" s="6" t="s">
        <v>16</v>
      </c>
      <c r="D35" s="5">
        <v>44223</v>
      </c>
      <c r="E35" s="6">
        <v>19</v>
      </c>
      <c r="F35" s="7" t="str">
        <f t="shared" si="0"/>
        <v>TN_C0C_F1_BIM_IV</v>
      </c>
      <c r="G35" s="9">
        <v>7.5636363636363635</v>
      </c>
      <c r="H35" s="9">
        <v>6.5272727272727273</v>
      </c>
      <c r="I35" s="9">
        <v>6.8636363636363633</v>
      </c>
      <c r="J35" s="9"/>
      <c r="K35" s="9">
        <v>7.4818181818181815</v>
      </c>
      <c r="L35" s="9">
        <v>5.9454545454545444</v>
      </c>
      <c r="M35" s="9">
        <v>6.5181818181818167</v>
      </c>
      <c r="N35" s="9">
        <v>7.5666666666666664</v>
      </c>
      <c r="O35" s="9">
        <v>65.743030303030295</v>
      </c>
    </row>
    <row r="36" spans="1:15" x14ac:dyDescent="0.3">
      <c r="A36" s="5" t="s">
        <v>67</v>
      </c>
      <c r="B36" s="6">
        <v>2</v>
      </c>
      <c r="C36" s="6" t="s">
        <v>16</v>
      </c>
      <c r="D36" s="5">
        <v>44237</v>
      </c>
      <c r="E36" s="6">
        <v>21</v>
      </c>
      <c r="F36" s="7" t="str">
        <f t="shared" si="0"/>
        <v>TN_C0C_F2_BIM_IV</v>
      </c>
      <c r="G36" s="9">
        <v>7.82</v>
      </c>
      <c r="H36" s="9">
        <v>6.85</v>
      </c>
      <c r="I36" s="9">
        <v>7.33</v>
      </c>
      <c r="J36" s="9"/>
      <c r="K36" s="9">
        <v>7.32</v>
      </c>
      <c r="L36" s="9">
        <v>5.55</v>
      </c>
      <c r="M36" s="9">
        <v>7.31</v>
      </c>
      <c r="N36" s="9">
        <v>7.4222222222222216</v>
      </c>
      <c r="O36" s="9">
        <v>67.880222222222216</v>
      </c>
    </row>
    <row r="37" spans="1:15" x14ac:dyDescent="0.3">
      <c r="A37" s="5" t="s">
        <v>67</v>
      </c>
      <c r="B37" s="6">
        <v>1</v>
      </c>
      <c r="C37" s="6" t="s">
        <v>17</v>
      </c>
      <c r="D37" s="5">
        <v>44251</v>
      </c>
      <c r="E37" s="6">
        <v>23</v>
      </c>
      <c r="F37" s="7" t="str">
        <f t="shared" si="0"/>
        <v>TN_C0C_F1_BIM_V</v>
      </c>
      <c r="G37" s="9">
        <v>7.46</v>
      </c>
      <c r="H37" s="9">
        <v>6.81</v>
      </c>
      <c r="I37" s="9">
        <v>7.53</v>
      </c>
      <c r="J37" s="9"/>
      <c r="K37" s="9">
        <v>6.93</v>
      </c>
      <c r="L37" s="9">
        <v>5.49</v>
      </c>
      <c r="M37" s="9">
        <v>6.64</v>
      </c>
      <c r="N37" s="9">
        <v>6.41</v>
      </c>
      <c r="O37" s="9">
        <v>65.203000000000003</v>
      </c>
    </row>
    <row r="38" spans="1:15" x14ac:dyDescent="0.3">
      <c r="A38" s="5" t="s">
        <v>67</v>
      </c>
      <c r="B38" s="6">
        <v>2</v>
      </c>
      <c r="C38" s="6" t="s">
        <v>17</v>
      </c>
      <c r="D38" s="5">
        <v>44258</v>
      </c>
      <c r="E38" s="6">
        <v>24</v>
      </c>
      <c r="F38" s="7" t="str">
        <f t="shared" si="0"/>
        <v>TN_C0C_F2_BIM_V</v>
      </c>
      <c r="G38" s="9">
        <v>7.58</v>
      </c>
      <c r="H38" s="9">
        <v>6.69</v>
      </c>
      <c r="I38" s="9">
        <v>7.19</v>
      </c>
      <c r="J38" s="9"/>
      <c r="K38" s="9">
        <v>7.52</v>
      </c>
      <c r="L38" s="9">
        <v>6.72</v>
      </c>
      <c r="M38" s="9">
        <v>7.53</v>
      </c>
      <c r="N38" s="9">
        <v>6.39</v>
      </c>
      <c r="O38" s="9">
        <v>67.57655555555553</v>
      </c>
    </row>
    <row r="39" spans="1:15" x14ac:dyDescent="0.3">
      <c r="A39" s="5" t="s">
        <v>67</v>
      </c>
      <c r="B39" s="6">
        <v>1</v>
      </c>
      <c r="C39" s="6" t="s">
        <v>19</v>
      </c>
      <c r="D39" s="5">
        <v>44272</v>
      </c>
      <c r="E39" s="6">
        <v>26</v>
      </c>
      <c r="F39" s="7" t="str">
        <f t="shared" si="0"/>
        <v>TN_C0C_F1_BIM_VI</v>
      </c>
      <c r="G39" s="9">
        <v>7.03</v>
      </c>
      <c r="H39" s="9">
        <v>6.32</v>
      </c>
      <c r="I39" s="9">
        <v>6.87</v>
      </c>
      <c r="J39" s="9"/>
      <c r="K39" s="9">
        <v>6.89</v>
      </c>
      <c r="L39" s="9">
        <v>7.1555555555555497</v>
      </c>
      <c r="M39" s="9">
        <v>7.6444444444444404</v>
      </c>
      <c r="N39" s="9">
        <v>7.2555555555555555</v>
      </c>
      <c r="O39" s="9">
        <v>66.24488888888888</v>
      </c>
    </row>
    <row r="40" spans="1:15" x14ac:dyDescent="0.3">
      <c r="A40" s="5" t="s">
        <v>67</v>
      </c>
      <c r="B40" s="6">
        <v>2</v>
      </c>
      <c r="C40" s="6" t="s">
        <v>19</v>
      </c>
      <c r="D40" s="5">
        <v>44279</v>
      </c>
      <c r="E40" s="6">
        <v>27</v>
      </c>
      <c r="F40" s="7" t="str">
        <f t="shared" si="0"/>
        <v>TN_C0C_F2_BIM_VI</v>
      </c>
      <c r="G40" s="9">
        <v>7.2555555555555502</v>
      </c>
      <c r="H40" s="9">
        <v>6.7888888888888799</v>
      </c>
      <c r="I40" s="9">
        <v>7.3777777777777702</v>
      </c>
      <c r="J40" s="9"/>
      <c r="K40" s="9">
        <v>6.9222222222222198</v>
      </c>
      <c r="L40" s="9">
        <v>5.4222222222222198</v>
      </c>
      <c r="M40" s="9">
        <v>6.74444444444444</v>
      </c>
      <c r="N40" s="9">
        <v>7.9800000000000013</v>
      </c>
      <c r="O40" s="9">
        <v>66.18888888888884</v>
      </c>
    </row>
    <row r="41" spans="1:15" x14ac:dyDescent="0.3">
      <c r="A41" s="5" t="s">
        <v>68</v>
      </c>
      <c r="B41" s="6">
        <v>1</v>
      </c>
      <c r="C41" s="6" t="s">
        <v>13</v>
      </c>
      <c r="D41" s="5">
        <v>44083</v>
      </c>
      <c r="E41" s="6">
        <v>2</v>
      </c>
      <c r="F41" s="7" t="str">
        <f t="shared" si="0"/>
        <v>TN_C0D_F1_BIM_I</v>
      </c>
      <c r="G41" s="8">
        <v>7.3181818181818183</v>
      </c>
      <c r="H41" s="8">
        <v>6.4</v>
      </c>
      <c r="I41" s="8">
        <v>6.8636363636363633</v>
      </c>
      <c r="J41" s="8"/>
      <c r="K41" s="8">
        <v>6.9272727272727259</v>
      </c>
      <c r="L41" s="8">
        <v>7.209090909090909</v>
      </c>
      <c r="M41" s="8">
        <v>6.9909090909090912</v>
      </c>
      <c r="N41" s="8">
        <v>7.6545454545454552</v>
      </c>
      <c r="O41" s="8">
        <v>66.508181818181825</v>
      </c>
    </row>
    <row r="42" spans="1:15" x14ac:dyDescent="0.3">
      <c r="A42" s="5" t="s">
        <v>68</v>
      </c>
      <c r="B42" s="6">
        <v>2</v>
      </c>
      <c r="C42" s="6" t="s">
        <v>13</v>
      </c>
      <c r="D42" s="5">
        <v>44104</v>
      </c>
      <c r="E42" s="6">
        <v>5</v>
      </c>
      <c r="F42" s="7" t="str">
        <f t="shared" si="0"/>
        <v>TN_C0D_F2_BIM_I</v>
      </c>
      <c r="G42" s="8">
        <v>7.290909090909091</v>
      </c>
      <c r="H42" s="8">
        <v>6.9727272727272727</v>
      </c>
      <c r="I42" s="8">
        <v>7.3454545454545448</v>
      </c>
      <c r="J42" s="8"/>
      <c r="K42" s="8">
        <v>7.1727272727272728</v>
      </c>
      <c r="L42" s="8">
        <v>7.5727272727272723</v>
      </c>
      <c r="M42" s="8">
        <v>6.4545454545454541</v>
      </c>
      <c r="N42" s="8">
        <v>6.9272727272727259</v>
      </c>
      <c r="O42" s="8">
        <v>67.496363636363625</v>
      </c>
    </row>
    <row r="43" spans="1:15" x14ac:dyDescent="0.3">
      <c r="A43" s="5" t="s">
        <v>68</v>
      </c>
      <c r="B43" s="6">
        <v>2</v>
      </c>
      <c r="C43" s="6" t="s">
        <v>14</v>
      </c>
      <c r="D43" s="5">
        <v>44118</v>
      </c>
      <c r="E43" s="6">
        <v>7</v>
      </c>
      <c r="F43" s="7" t="str">
        <f t="shared" si="0"/>
        <v>TN_C0D_F2_BIM_II</v>
      </c>
      <c r="G43" s="8">
        <v>7.291666666666667</v>
      </c>
      <c r="H43" s="8">
        <v>7.4833333333333316</v>
      </c>
      <c r="I43" s="8">
        <v>7.5916666666666659</v>
      </c>
      <c r="J43" s="8"/>
      <c r="K43" s="8">
        <v>7.1166666666666671</v>
      </c>
      <c r="L43" s="8">
        <v>7.8500000000000014</v>
      </c>
      <c r="M43" s="8">
        <v>7.5916666666666677</v>
      </c>
      <c r="N43" s="8">
        <v>7.2538461538461547</v>
      </c>
      <c r="O43" s="8">
        <v>70.861346153846156</v>
      </c>
    </row>
    <row r="44" spans="1:15" x14ac:dyDescent="0.3">
      <c r="A44" s="5" t="s">
        <v>68</v>
      </c>
      <c r="B44" s="6">
        <v>2</v>
      </c>
      <c r="C44" s="6" t="s">
        <v>14</v>
      </c>
      <c r="D44" s="5">
        <v>44139</v>
      </c>
      <c r="E44" s="6">
        <v>10</v>
      </c>
      <c r="F44" s="7" t="str">
        <f t="shared" si="0"/>
        <v>TN_C0D_F2_BIM_II</v>
      </c>
      <c r="G44" s="8">
        <v>7.7636363636363628</v>
      </c>
      <c r="H44" s="8">
        <v>6.9090909090909092</v>
      </c>
      <c r="I44" s="8">
        <v>7.6545454545454552</v>
      </c>
      <c r="J44" s="8"/>
      <c r="K44" s="8">
        <v>7.2545454545454557</v>
      </c>
      <c r="L44" s="8">
        <v>7.7090909090909099</v>
      </c>
      <c r="M44" s="8">
        <v>7.0727272727272723</v>
      </c>
      <c r="N44" s="8">
        <v>7.910000000000001</v>
      </c>
      <c r="O44" s="8">
        <v>70.715454545454548</v>
      </c>
    </row>
    <row r="45" spans="1:15" x14ac:dyDescent="0.3">
      <c r="A45" s="5" t="s">
        <v>68</v>
      </c>
      <c r="B45" s="6">
        <v>1</v>
      </c>
      <c r="C45" s="6" t="s">
        <v>15</v>
      </c>
      <c r="D45" s="5">
        <v>44160</v>
      </c>
      <c r="E45" s="6">
        <v>12</v>
      </c>
      <c r="F45" s="7" t="str">
        <f t="shared" si="0"/>
        <v>TN_C0D_F1_BIM_III</v>
      </c>
      <c r="G45" s="8">
        <v>7.7250000000000014</v>
      </c>
      <c r="H45" s="8">
        <v>7.1250000000000009</v>
      </c>
      <c r="I45" s="8">
        <v>7.3083333333333327</v>
      </c>
      <c r="J45" s="8"/>
      <c r="K45" s="8">
        <v>7.5083333333333329</v>
      </c>
      <c r="L45" s="8">
        <v>7.291666666666667</v>
      </c>
      <c r="M45" s="8">
        <v>7.625</v>
      </c>
      <c r="N45" s="8">
        <v>7.2</v>
      </c>
      <c r="O45" s="8">
        <v>70.294166666666669</v>
      </c>
    </row>
    <row r="46" spans="1:15" x14ac:dyDescent="0.3">
      <c r="A46" s="5" t="s">
        <v>68</v>
      </c>
      <c r="B46" s="6">
        <v>2</v>
      </c>
      <c r="C46" s="6" t="s">
        <v>15</v>
      </c>
      <c r="D46" s="5">
        <v>44167</v>
      </c>
      <c r="E46" s="6">
        <v>13</v>
      </c>
      <c r="F46" s="7" t="str">
        <f t="shared" si="0"/>
        <v>TN_C0D_F2_BIM_III</v>
      </c>
      <c r="G46" s="8">
        <v>7.6400000000000006</v>
      </c>
      <c r="H46" s="8">
        <v>7.6599999999999993</v>
      </c>
      <c r="I46" s="8">
        <v>7.58</v>
      </c>
      <c r="J46" s="8"/>
      <c r="K46" s="8">
        <v>7.0200000000000005</v>
      </c>
      <c r="L46" s="8">
        <v>8.02</v>
      </c>
      <c r="M46" s="8">
        <v>7.7600000000000007</v>
      </c>
      <c r="N46" s="8">
        <v>7.7299999999999995</v>
      </c>
      <c r="O46" s="8">
        <v>72.52</v>
      </c>
    </row>
    <row r="47" spans="1:15" x14ac:dyDescent="0.3">
      <c r="A47" s="5" t="s">
        <v>68</v>
      </c>
      <c r="B47" s="6">
        <v>1</v>
      </c>
      <c r="C47" s="6" t="s">
        <v>16</v>
      </c>
      <c r="D47" s="5">
        <v>44216</v>
      </c>
      <c r="E47" s="6">
        <v>18</v>
      </c>
      <c r="F47" s="7" t="str">
        <f t="shared" si="0"/>
        <v>TN_C0D_F1_BIM_IV</v>
      </c>
      <c r="G47" s="9">
        <v>7.7666666666666675</v>
      </c>
      <c r="H47" s="9">
        <v>7.833333333333333</v>
      </c>
      <c r="I47" s="9">
        <v>7.4777777777777779</v>
      </c>
      <c r="J47" s="9"/>
      <c r="K47" s="9">
        <v>7.1888888888888891</v>
      </c>
      <c r="L47" s="9">
        <v>7.3999999999999995</v>
      </c>
      <c r="M47" s="9">
        <v>7.3666666666666663</v>
      </c>
      <c r="N47" s="9">
        <v>7.3454545454545448</v>
      </c>
      <c r="O47" s="9">
        <v>71.526565656565651</v>
      </c>
    </row>
    <row r="48" spans="1:15" x14ac:dyDescent="0.3">
      <c r="A48" s="5" t="s">
        <v>68</v>
      </c>
      <c r="B48" s="6">
        <v>2</v>
      </c>
      <c r="C48" s="6" t="s">
        <v>16</v>
      </c>
      <c r="D48" s="5">
        <v>44237</v>
      </c>
      <c r="E48" s="6">
        <v>21</v>
      </c>
      <c r="F48" s="7" t="str">
        <f t="shared" si="0"/>
        <v>TN_C0D_F2_BIM_IV</v>
      </c>
      <c r="G48" s="9">
        <v>7.44</v>
      </c>
      <c r="H48" s="9">
        <v>7.6099999999999994</v>
      </c>
      <c r="I48" s="9">
        <v>7.7100000000000009</v>
      </c>
      <c r="J48" s="9"/>
      <c r="K48" s="9">
        <v>7.3800000000000008</v>
      </c>
      <c r="L48" s="9">
        <v>6.19</v>
      </c>
      <c r="M48" s="9">
        <v>8.0599999999999987</v>
      </c>
      <c r="N48" s="9">
        <v>7.4444444444444446</v>
      </c>
      <c r="O48" s="9">
        <v>70.945444444444448</v>
      </c>
    </row>
    <row r="49" spans="1:15" x14ac:dyDescent="0.3">
      <c r="A49" s="5" t="s">
        <v>69</v>
      </c>
      <c r="B49" s="6">
        <v>1</v>
      </c>
      <c r="C49" s="6" t="s">
        <v>13</v>
      </c>
      <c r="D49" s="5">
        <v>44083</v>
      </c>
      <c r="E49" s="6">
        <v>2</v>
      </c>
      <c r="F49" s="7" t="str">
        <f t="shared" si="0"/>
        <v>TN_C0E_F1_BIM_I</v>
      </c>
      <c r="G49" s="8">
        <v>7.3636363636363633</v>
      </c>
      <c r="H49" s="8">
        <v>6.9545454545454541</v>
      </c>
      <c r="I49" s="8">
        <v>7.172727272727272</v>
      </c>
      <c r="J49" s="8"/>
      <c r="K49" s="8">
        <v>7.3999999999999995</v>
      </c>
      <c r="L49" s="8">
        <v>7.7727272727272725</v>
      </c>
      <c r="M49" s="8">
        <v>7.7727272727272716</v>
      </c>
      <c r="N49" s="8">
        <v>7.2727272727272725</v>
      </c>
      <c r="O49" s="8">
        <v>69.779999999999987</v>
      </c>
    </row>
    <row r="50" spans="1:15" x14ac:dyDescent="0.3">
      <c r="A50" s="5" t="s">
        <v>69</v>
      </c>
      <c r="B50" s="6">
        <v>2</v>
      </c>
      <c r="C50" s="6" t="s">
        <v>13</v>
      </c>
      <c r="D50" s="5">
        <v>44097</v>
      </c>
      <c r="E50" s="6">
        <v>4</v>
      </c>
      <c r="F50" s="7" t="str">
        <f t="shared" si="0"/>
        <v>TN_C0E_F2_BIM_I</v>
      </c>
      <c r="G50" s="8">
        <v>7.4153846153846148</v>
      </c>
      <c r="H50" s="8">
        <v>6.884615384615385</v>
      </c>
      <c r="I50" s="8">
        <v>6.7769230769230768</v>
      </c>
      <c r="J50" s="8"/>
      <c r="K50" s="8">
        <v>7.2923076923076922</v>
      </c>
      <c r="L50" s="8">
        <v>8.2307692307692299</v>
      </c>
      <c r="M50" s="8">
        <v>8.0384615384615383</v>
      </c>
      <c r="N50" s="8">
        <v>7.1727272727272728</v>
      </c>
      <c r="O50" s="8">
        <v>69.665034965034963</v>
      </c>
    </row>
    <row r="51" spans="1:15" x14ac:dyDescent="0.3">
      <c r="A51" s="5" t="s">
        <v>69</v>
      </c>
      <c r="B51" s="6">
        <v>1</v>
      </c>
      <c r="C51" s="6" t="s">
        <v>14</v>
      </c>
      <c r="D51" s="5">
        <v>44113</v>
      </c>
      <c r="E51" s="6">
        <v>6</v>
      </c>
      <c r="F51" s="7" t="str">
        <f t="shared" si="0"/>
        <v>TN_C0E_F1_BIM_II</v>
      </c>
      <c r="G51" s="8">
        <v>7.172727272727272</v>
      </c>
      <c r="H51" s="8">
        <v>7.4272727272727277</v>
      </c>
      <c r="I51" s="8">
        <v>7.0181818181818185</v>
      </c>
      <c r="J51" s="8"/>
      <c r="K51" s="8">
        <v>7.8181818181818183</v>
      </c>
      <c r="L51" s="8">
        <v>8.4363636363636356</v>
      </c>
      <c r="M51" s="8">
        <v>7.3636363636363624</v>
      </c>
      <c r="N51" s="8">
        <v>7.5</v>
      </c>
      <c r="O51" s="8">
        <v>70.820909090909097</v>
      </c>
    </row>
    <row r="52" spans="1:15" x14ac:dyDescent="0.3">
      <c r="A52" s="5" t="s">
        <v>69</v>
      </c>
      <c r="B52" s="6">
        <v>2</v>
      </c>
      <c r="C52" s="6" t="s">
        <v>14</v>
      </c>
      <c r="D52" s="5">
        <v>44139</v>
      </c>
      <c r="E52" s="6">
        <v>10</v>
      </c>
      <c r="F52" s="7" t="str">
        <f t="shared" si="0"/>
        <v>TN_C0E_F2_BIM_II</v>
      </c>
      <c r="G52" s="8">
        <v>7</v>
      </c>
      <c r="H52" s="8">
        <v>6.672727272727272</v>
      </c>
      <c r="I52" s="8">
        <v>6.7636363636363628</v>
      </c>
      <c r="J52" s="8"/>
      <c r="K52" s="8">
        <v>7.290909090909091</v>
      </c>
      <c r="L52" s="8">
        <v>7.709090909090909</v>
      </c>
      <c r="M52" s="8">
        <v>7.8</v>
      </c>
      <c r="N52" s="8">
        <v>6.58</v>
      </c>
      <c r="O52" s="8">
        <v>67.129090909090905</v>
      </c>
    </row>
    <row r="53" spans="1:15" x14ac:dyDescent="0.3">
      <c r="A53" s="5" t="s">
        <v>69</v>
      </c>
      <c r="B53" s="6">
        <v>1</v>
      </c>
      <c r="C53" s="6" t="s">
        <v>15</v>
      </c>
      <c r="D53" s="5">
        <v>44160</v>
      </c>
      <c r="E53" s="6">
        <v>12</v>
      </c>
      <c r="F53" s="7" t="str">
        <f t="shared" si="0"/>
        <v>TN_C0E_F1_BIM_III</v>
      </c>
      <c r="G53" s="8">
        <v>6.4583333333333321</v>
      </c>
      <c r="H53" s="8">
        <v>7.2250000000000005</v>
      </c>
      <c r="I53" s="8">
        <v>6.6166666666666663</v>
      </c>
      <c r="J53" s="8"/>
      <c r="K53" s="8">
        <v>7.0000000000000009</v>
      </c>
      <c r="L53" s="8">
        <v>7.1416666666666666</v>
      </c>
      <c r="M53" s="8">
        <v>6.883333333333332</v>
      </c>
      <c r="N53" s="8">
        <v>8</v>
      </c>
      <c r="O53" s="8">
        <v>66.322499999999991</v>
      </c>
    </row>
    <row r="54" spans="1:15" x14ac:dyDescent="0.3">
      <c r="A54" s="5" t="s">
        <v>69</v>
      </c>
      <c r="B54" s="6">
        <v>2</v>
      </c>
      <c r="C54" s="6" t="s">
        <v>15</v>
      </c>
      <c r="D54" s="5">
        <v>44167</v>
      </c>
      <c r="E54" s="6">
        <v>13</v>
      </c>
      <c r="F54" s="7" t="str">
        <f t="shared" si="0"/>
        <v>TN_C0E_F2_BIM_III</v>
      </c>
      <c r="G54" s="8">
        <v>7.13</v>
      </c>
      <c r="H54" s="8">
        <v>6.68</v>
      </c>
      <c r="I54" s="8">
        <v>6.76</v>
      </c>
      <c r="J54" s="8"/>
      <c r="K54" s="8">
        <v>6.45</v>
      </c>
      <c r="L54" s="8">
        <v>8.31</v>
      </c>
      <c r="M54" s="8">
        <v>7.6400000000000006</v>
      </c>
      <c r="N54" s="8">
        <v>6.4599999999999991</v>
      </c>
      <c r="O54" s="8">
        <v>66.789000000000001</v>
      </c>
    </row>
    <row r="55" spans="1:15" x14ac:dyDescent="0.3">
      <c r="A55" s="5" t="s">
        <v>69</v>
      </c>
      <c r="B55" s="6">
        <v>1</v>
      </c>
      <c r="C55" s="6" t="s">
        <v>16</v>
      </c>
      <c r="D55" s="5">
        <v>44223</v>
      </c>
      <c r="E55" s="6">
        <v>19</v>
      </c>
      <c r="F55" s="7" t="str">
        <f t="shared" si="0"/>
        <v>TN_C0E_F1_BIM_IV</v>
      </c>
      <c r="G55" s="9">
        <v>6.9272727272727277</v>
      </c>
      <c r="H55" s="9">
        <v>6.8454545454545448</v>
      </c>
      <c r="I55" s="9">
        <v>6.8</v>
      </c>
      <c r="J55" s="9"/>
      <c r="K55" s="9">
        <v>6.5636363636363635</v>
      </c>
      <c r="L55" s="9">
        <v>7.6454545454545464</v>
      </c>
      <c r="M55" s="9">
        <v>8.1545454545454543</v>
      </c>
      <c r="N55" s="9">
        <v>7.8444444444444441</v>
      </c>
      <c r="O55" s="9">
        <v>68.312626262626253</v>
      </c>
    </row>
    <row r="56" spans="1:15" x14ac:dyDescent="0.3">
      <c r="A56" s="5" t="s">
        <v>69</v>
      </c>
      <c r="B56" s="6">
        <v>2</v>
      </c>
      <c r="C56" s="6" t="s">
        <v>16</v>
      </c>
      <c r="D56" s="5">
        <v>44237</v>
      </c>
      <c r="E56" s="6">
        <v>21</v>
      </c>
      <c r="F56" s="7" t="str">
        <f t="shared" si="0"/>
        <v>TN_C0E_F2_BIM_IV</v>
      </c>
      <c r="G56" s="9">
        <v>6.9599999999999991</v>
      </c>
      <c r="H56" s="9">
        <v>6.7099999999999991</v>
      </c>
      <c r="I56" s="9">
        <v>6.7900000000000009</v>
      </c>
      <c r="J56" s="9"/>
      <c r="K56" s="9">
        <v>7.05</v>
      </c>
      <c r="L56" s="9">
        <v>7.26</v>
      </c>
      <c r="M56" s="9">
        <v>6.8</v>
      </c>
      <c r="N56" s="9">
        <v>8.1666666666666661</v>
      </c>
      <c r="O56" s="9">
        <v>66.769666666666666</v>
      </c>
    </row>
    <row r="57" spans="1:15" x14ac:dyDescent="0.3">
      <c r="A57" s="5" t="s">
        <v>69</v>
      </c>
      <c r="B57" s="6">
        <v>1</v>
      </c>
      <c r="C57" s="6" t="s">
        <v>17</v>
      </c>
      <c r="D57" s="5">
        <v>44251</v>
      </c>
      <c r="E57" s="6">
        <v>23</v>
      </c>
      <c r="F57" s="7" t="str">
        <f t="shared" si="0"/>
        <v>TN_C0E_F1_BIM_V</v>
      </c>
      <c r="G57" s="9">
        <v>7.41</v>
      </c>
      <c r="H57" s="9">
        <v>6.75</v>
      </c>
      <c r="I57" s="9">
        <v>6.91</v>
      </c>
      <c r="J57" s="9"/>
      <c r="K57" s="9">
        <v>6.67</v>
      </c>
      <c r="L57" s="9">
        <v>6.15</v>
      </c>
      <c r="M57" s="9">
        <v>7.28</v>
      </c>
      <c r="N57" s="9">
        <v>7.76</v>
      </c>
      <c r="O57" s="9">
        <v>66.537999999999997</v>
      </c>
    </row>
    <row r="58" spans="1:15" x14ac:dyDescent="0.3">
      <c r="A58" s="5" t="s">
        <v>69</v>
      </c>
      <c r="B58" s="6">
        <v>2</v>
      </c>
      <c r="C58" s="6" t="s">
        <v>17</v>
      </c>
      <c r="D58" s="5">
        <v>44258</v>
      </c>
      <c r="E58" s="6">
        <v>24</v>
      </c>
      <c r="F58" s="7" t="str">
        <f t="shared" si="0"/>
        <v>TN_C0E_F2_BIM_V</v>
      </c>
      <c r="G58" s="9">
        <v>6.59</v>
      </c>
      <c r="H58" s="9">
        <v>6.53</v>
      </c>
      <c r="I58" s="9">
        <v>6.02</v>
      </c>
      <c r="J58" s="9"/>
      <c r="K58" s="9">
        <v>6.57</v>
      </c>
      <c r="L58" s="9">
        <v>7.88</v>
      </c>
      <c r="M58" s="9">
        <v>7.06</v>
      </c>
      <c r="N58" s="9">
        <v>8.2100000000000009</v>
      </c>
      <c r="O58" s="9">
        <v>65.028999999999996</v>
      </c>
    </row>
    <row r="59" spans="1:15" x14ac:dyDescent="0.3">
      <c r="A59" s="5" t="s">
        <v>69</v>
      </c>
      <c r="B59" s="6">
        <v>1</v>
      </c>
      <c r="C59" s="6" t="s">
        <v>19</v>
      </c>
      <c r="D59" s="5">
        <v>44279</v>
      </c>
      <c r="E59" s="6">
        <v>27</v>
      </c>
      <c r="F59" s="7" t="str">
        <f t="shared" si="0"/>
        <v>TN_C0E_F1_BIM_VI</v>
      </c>
      <c r="G59" s="9">
        <v>7.0444444444444398</v>
      </c>
      <c r="H59" s="9">
        <v>6.5</v>
      </c>
      <c r="I59" s="9">
        <v>6.8333333333333304</v>
      </c>
      <c r="J59" s="9"/>
      <c r="K59" s="9">
        <v>7.5888888888888797</v>
      </c>
      <c r="L59" s="9">
        <v>7.2777777777777697</v>
      </c>
      <c r="M59" s="9">
        <v>6.6333333333333302</v>
      </c>
      <c r="N59" s="9">
        <v>8.56</v>
      </c>
      <c r="O59" s="9">
        <v>67.34222222222219</v>
      </c>
    </row>
    <row r="60" spans="1:15" x14ac:dyDescent="0.3">
      <c r="A60" s="6" t="s">
        <v>69</v>
      </c>
      <c r="B60" s="6">
        <v>2</v>
      </c>
      <c r="C60" s="6" t="s">
        <v>19</v>
      </c>
      <c r="D60" s="5">
        <v>44293</v>
      </c>
      <c r="E60" s="6">
        <v>29</v>
      </c>
      <c r="F60" s="7" t="str">
        <f t="shared" si="0"/>
        <v>TN_C0E_F2_BIM_VI</v>
      </c>
      <c r="G60" s="9">
        <v>6.7777777777777777</v>
      </c>
      <c r="H60" s="9">
        <v>6.5</v>
      </c>
      <c r="I60" s="9">
        <v>6.1111111111111107</v>
      </c>
      <c r="J60" s="9"/>
      <c r="K60" s="9">
        <v>6.5666666666666673</v>
      </c>
      <c r="L60" s="9">
        <v>7.5555555555555554</v>
      </c>
      <c r="M60" s="9">
        <v>6.5555555555555545</v>
      </c>
      <c r="N60" s="9">
        <v>6.8444444444444441</v>
      </c>
      <c r="O60" s="9">
        <v>63.1</v>
      </c>
    </row>
    <row r="61" spans="1:15" x14ac:dyDescent="0.3">
      <c r="A61" s="5" t="s">
        <v>71</v>
      </c>
      <c r="B61" s="6">
        <v>1</v>
      </c>
      <c r="C61" s="6" t="s">
        <v>13</v>
      </c>
      <c r="D61" s="5">
        <v>44090</v>
      </c>
      <c r="E61" s="6">
        <v>3</v>
      </c>
      <c r="F61" s="7" t="str">
        <f t="shared" si="0"/>
        <v>TN_C0F_F1_BIM_I</v>
      </c>
      <c r="G61" s="8">
        <v>7.75</v>
      </c>
      <c r="H61" s="8">
        <v>6.6</v>
      </c>
      <c r="I61" s="8">
        <v>6.95</v>
      </c>
      <c r="J61" s="8"/>
      <c r="K61" s="8">
        <v>7</v>
      </c>
      <c r="L61" s="8">
        <v>7.68</v>
      </c>
      <c r="M61" s="8">
        <v>7.92</v>
      </c>
      <c r="N61" s="8">
        <v>5.5</v>
      </c>
      <c r="O61" s="8">
        <v>67.349999999999994</v>
      </c>
    </row>
    <row r="62" spans="1:15" x14ac:dyDescent="0.3">
      <c r="A62" s="5" t="s">
        <v>71</v>
      </c>
      <c r="B62" s="6">
        <v>1</v>
      </c>
      <c r="C62" s="6" t="s">
        <v>14</v>
      </c>
      <c r="D62" s="5">
        <v>44125</v>
      </c>
      <c r="E62" s="6">
        <v>8</v>
      </c>
      <c r="F62" s="7" t="str">
        <f t="shared" si="0"/>
        <v>TN_C0F_F1_BIM_II</v>
      </c>
      <c r="G62" s="8">
        <v>7.7230769230769232</v>
      </c>
      <c r="H62" s="8">
        <v>7.0538461538461537</v>
      </c>
      <c r="I62" s="8">
        <v>7.5153846153846171</v>
      </c>
      <c r="J62" s="8"/>
      <c r="K62" s="8">
        <v>7.384615384615385</v>
      </c>
      <c r="L62" s="8">
        <v>7.4692307692307702</v>
      </c>
      <c r="M62" s="8">
        <v>7.6923076923076925</v>
      </c>
      <c r="N62" s="8">
        <v>6.0083333333333329</v>
      </c>
      <c r="O62" s="8">
        <v>69.464487179487193</v>
      </c>
    </row>
    <row r="63" spans="1:15" x14ac:dyDescent="0.3">
      <c r="A63" s="5" t="s">
        <v>71</v>
      </c>
      <c r="B63" s="6">
        <v>1</v>
      </c>
      <c r="C63" s="6" t="s">
        <v>15</v>
      </c>
      <c r="D63" s="5">
        <v>44167</v>
      </c>
      <c r="E63" s="6">
        <v>13</v>
      </c>
      <c r="F63" s="7" t="str">
        <f t="shared" si="0"/>
        <v>TN_C0F_F1_BIM_III</v>
      </c>
      <c r="G63" s="8">
        <v>7.6300000000000008</v>
      </c>
      <c r="H63" s="8">
        <v>6.9799999999999995</v>
      </c>
      <c r="I63" s="8">
        <v>7.2</v>
      </c>
      <c r="J63" s="8"/>
      <c r="K63" s="8">
        <v>7.4800000000000013</v>
      </c>
      <c r="L63" s="8">
        <v>6.5299999999999994</v>
      </c>
      <c r="M63" s="8">
        <v>7.5399999999999991</v>
      </c>
      <c r="N63" s="8">
        <v>6.5399999999999991</v>
      </c>
      <c r="O63" s="8">
        <v>68.126999999999995</v>
      </c>
    </row>
    <row r="64" spans="1:15" x14ac:dyDescent="0.3">
      <c r="A64" s="5" t="s">
        <v>71</v>
      </c>
      <c r="B64" s="6">
        <v>1</v>
      </c>
      <c r="C64" s="6" t="s">
        <v>16</v>
      </c>
      <c r="D64" s="5">
        <v>44216</v>
      </c>
      <c r="E64" s="6">
        <v>18</v>
      </c>
      <c r="F64" s="7" t="str">
        <f t="shared" si="0"/>
        <v>TN_C0F_F1_BIM_IV</v>
      </c>
      <c r="G64" s="9">
        <v>7.633333333333332</v>
      </c>
      <c r="H64" s="9">
        <v>7.1555555555555559</v>
      </c>
      <c r="I64" s="9">
        <v>7.2000000000000011</v>
      </c>
      <c r="J64" s="9"/>
      <c r="K64" s="9">
        <v>7.5111111111111102</v>
      </c>
      <c r="L64" s="9">
        <v>7.5999999999999988</v>
      </c>
      <c r="M64" s="9">
        <v>7.3222222222222229</v>
      </c>
      <c r="N64" s="9">
        <v>6.1636363636363631</v>
      </c>
      <c r="O64" s="9">
        <v>68.890303030303031</v>
      </c>
    </row>
    <row r="65" spans="1:15" x14ac:dyDescent="0.3">
      <c r="A65" s="5" t="s">
        <v>71</v>
      </c>
      <c r="B65" s="6">
        <v>1</v>
      </c>
      <c r="C65" s="6" t="s">
        <v>19</v>
      </c>
      <c r="D65" s="5">
        <v>44272</v>
      </c>
      <c r="E65" s="6">
        <v>26</v>
      </c>
      <c r="F65" s="7" t="str">
        <f t="shared" si="0"/>
        <v>TN_C0F_F1_BIM_VI</v>
      </c>
      <c r="G65" s="9">
        <v>7.41</v>
      </c>
      <c r="H65" s="9">
        <v>6.97</v>
      </c>
      <c r="I65" s="9">
        <v>7.32</v>
      </c>
      <c r="J65" s="9"/>
      <c r="K65" s="9">
        <v>6.78</v>
      </c>
      <c r="L65" s="9">
        <v>6.63</v>
      </c>
      <c r="M65" s="9">
        <v>6.91</v>
      </c>
      <c r="N65" s="9">
        <v>5.8000000000000007</v>
      </c>
      <c r="O65" s="9">
        <v>65.78</v>
      </c>
    </row>
    <row r="66" spans="1:15" x14ac:dyDescent="0.3">
      <c r="A66" s="5" t="s">
        <v>72</v>
      </c>
      <c r="B66" s="6">
        <v>1</v>
      </c>
      <c r="C66" s="6" t="s">
        <v>13</v>
      </c>
      <c r="D66" s="5">
        <v>44076</v>
      </c>
      <c r="E66" s="6">
        <v>1</v>
      </c>
      <c r="F66" s="7" t="str">
        <f t="shared" ref="F66:F129" si="1">CONCATENATE(A66,"_F",B66,"_BIM_",C66)</f>
        <v>TN_C0G_F1_BIM_I</v>
      </c>
      <c r="G66" s="8">
        <v>8.0363636363636353</v>
      </c>
      <c r="H66" s="8">
        <v>7.463636363636363</v>
      </c>
      <c r="I66" s="8">
        <v>7.5181818181818185</v>
      </c>
      <c r="J66" s="8"/>
      <c r="K66" s="8">
        <v>6.8818181818181818</v>
      </c>
      <c r="L66" s="8">
        <v>8.0909090909090899</v>
      </c>
      <c r="M66" s="8">
        <v>7.6181818181818182</v>
      </c>
      <c r="N66" s="8">
        <v>8</v>
      </c>
      <c r="O66" s="8">
        <v>72.75363636363636</v>
      </c>
    </row>
    <row r="67" spans="1:15" x14ac:dyDescent="0.3">
      <c r="A67" s="5" t="s">
        <v>72</v>
      </c>
      <c r="B67" s="6">
        <v>2</v>
      </c>
      <c r="C67" s="6" t="s">
        <v>13</v>
      </c>
      <c r="D67" s="5">
        <v>44104</v>
      </c>
      <c r="E67" s="6">
        <v>5</v>
      </c>
      <c r="F67" s="7" t="str">
        <f t="shared" si="1"/>
        <v>TN_C0G_F2_BIM_I</v>
      </c>
      <c r="G67" s="8">
        <v>7.327272727272728</v>
      </c>
      <c r="H67" s="8">
        <v>7.3909090909090907</v>
      </c>
      <c r="I67" s="8">
        <v>7.327272727272728</v>
      </c>
      <c r="J67" s="8"/>
      <c r="K67" s="8">
        <v>7.5545454545454556</v>
      </c>
      <c r="L67" s="8">
        <v>7.8454545454545466</v>
      </c>
      <c r="M67" s="8">
        <v>7.4181818181818189</v>
      </c>
      <c r="N67" s="8">
        <v>6.7727272727272725</v>
      </c>
      <c r="O67" s="8">
        <v>70.032727272727286</v>
      </c>
    </row>
    <row r="68" spans="1:15" x14ac:dyDescent="0.3">
      <c r="A68" s="5" t="s">
        <v>72</v>
      </c>
      <c r="B68" s="6">
        <v>1</v>
      </c>
      <c r="C68" s="6" t="s">
        <v>14</v>
      </c>
      <c r="D68" s="5">
        <v>44113</v>
      </c>
      <c r="E68" s="6">
        <v>6</v>
      </c>
      <c r="F68" s="7" t="str">
        <f t="shared" si="1"/>
        <v>TN_C0G_F1_BIM_II</v>
      </c>
      <c r="G68" s="8">
        <v>7.8454545454545448</v>
      </c>
      <c r="H68" s="8">
        <v>7.1454545454545446</v>
      </c>
      <c r="I68" s="8">
        <v>7.5454545454545459</v>
      </c>
      <c r="J68" s="8"/>
      <c r="K68" s="8">
        <v>7.8363636363636351</v>
      </c>
      <c r="L68" s="8">
        <v>8.0909090909090899</v>
      </c>
      <c r="M68" s="8">
        <v>7.7545454545454557</v>
      </c>
      <c r="N68" s="8">
        <v>7</v>
      </c>
      <c r="O68" s="8">
        <v>72.034545454545452</v>
      </c>
    </row>
    <row r="69" spans="1:15" x14ac:dyDescent="0.3">
      <c r="A69" s="5" t="s">
        <v>72</v>
      </c>
      <c r="B69" s="6">
        <v>2</v>
      </c>
      <c r="C69" s="6" t="s">
        <v>14</v>
      </c>
      <c r="D69" s="5">
        <v>44132</v>
      </c>
      <c r="E69" s="6">
        <v>9</v>
      </c>
      <c r="F69" s="7" t="str">
        <f t="shared" si="1"/>
        <v>TN_C0G_F2_BIM_II</v>
      </c>
      <c r="G69" s="8">
        <v>7.666666666666667</v>
      </c>
      <c r="H69" s="8">
        <v>7.2583333333333329</v>
      </c>
      <c r="I69" s="8">
        <v>7.541666666666667</v>
      </c>
      <c r="J69" s="8"/>
      <c r="K69" s="8">
        <v>7.3166666666666664</v>
      </c>
      <c r="L69" s="8">
        <v>8.15</v>
      </c>
      <c r="M69" s="8">
        <v>7.6916666666666673</v>
      </c>
      <c r="N69" s="8">
        <v>6.4</v>
      </c>
      <c r="O69" s="8">
        <v>70.784999999999997</v>
      </c>
    </row>
    <row r="70" spans="1:15" x14ac:dyDescent="0.3">
      <c r="A70" s="5" t="s">
        <v>72</v>
      </c>
      <c r="B70" s="6">
        <v>1</v>
      </c>
      <c r="C70" s="6" t="s">
        <v>15</v>
      </c>
      <c r="D70" s="5">
        <v>44160</v>
      </c>
      <c r="E70" s="6">
        <v>12</v>
      </c>
      <c r="F70" s="7" t="str">
        <f t="shared" si="1"/>
        <v>TN_C0G_F1_BIM_III</v>
      </c>
      <c r="G70" s="8">
        <v>7.7416666666666663</v>
      </c>
      <c r="H70" s="8">
        <v>7.3916666666666666</v>
      </c>
      <c r="I70" s="8">
        <v>7.708333333333333</v>
      </c>
      <c r="J70" s="8"/>
      <c r="K70" s="8">
        <v>6.8666666666666663</v>
      </c>
      <c r="L70" s="8">
        <v>7.9333333333333327</v>
      </c>
      <c r="M70" s="8">
        <v>7.666666666666667</v>
      </c>
      <c r="N70" s="8">
        <v>6.63</v>
      </c>
      <c r="O70" s="8">
        <v>70.966666666666669</v>
      </c>
    </row>
    <row r="71" spans="1:15" x14ac:dyDescent="0.3">
      <c r="A71" s="5" t="s">
        <v>72</v>
      </c>
      <c r="B71" s="6">
        <v>2</v>
      </c>
      <c r="C71" s="6" t="s">
        <v>15</v>
      </c>
      <c r="D71" s="5">
        <v>44174</v>
      </c>
      <c r="E71" s="6">
        <v>14</v>
      </c>
      <c r="F71" s="7" t="str">
        <f t="shared" si="1"/>
        <v>TN_C0G_F2_BIM_III</v>
      </c>
      <c r="G71" s="8">
        <v>7.8400000000000007</v>
      </c>
      <c r="H71" s="8">
        <v>7.2299999999999995</v>
      </c>
      <c r="I71" s="8">
        <v>7.45</v>
      </c>
      <c r="J71" s="8"/>
      <c r="K71" s="8">
        <v>7.35</v>
      </c>
      <c r="L71" s="8">
        <v>7.99</v>
      </c>
      <c r="M71" s="8">
        <v>7.9999999999999982</v>
      </c>
      <c r="N71" s="8">
        <v>6.6181818181818182</v>
      </c>
      <c r="O71" s="8">
        <v>71.36518181818181</v>
      </c>
    </row>
    <row r="72" spans="1:15" x14ac:dyDescent="0.3">
      <c r="A72" s="5" t="s">
        <v>72</v>
      </c>
      <c r="B72" s="6">
        <v>3</v>
      </c>
      <c r="C72" s="6" t="s">
        <v>15</v>
      </c>
      <c r="D72" s="5">
        <v>44181</v>
      </c>
      <c r="E72" s="6">
        <v>15</v>
      </c>
      <c r="F72" s="7" t="str">
        <f t="shared" si="1"/>
        <v>TN_C0G_F3_BIM_III</v>
      </c>
      <c r="G72" s="8">
        <v>7.209090909090909</v>
      </c>
      <c r="H72" s="8">
        <v>6.9818181818181815</v>
      </c>
      <c r="I72" s="8">
        <v>6.8363636363636369</v>
      </c>
      <c r="J72" s="8"/>
      <c r="K72" s="8">
        <v>7.1818181818181817</v>
      </c>
      <c r="L72" s="8">
        <v>8.2181818181818187</v>
      </c>
      <c r="M72" s="8">
        <v>7.963636363636363</v>
      </c>
      <c r="N72" s="8">
        <v>6.9272727272727277</v>
      </c>
      <c r="O72" s="8">
        <v>69.124545454545455</v>
      </c>
    </row>
    <row r="73" spans="1:15" x14ac:dyDescent="0.3">
      <c r="A73" s="5" t="s">
        <v>72</v>
      </c>
      <c r="B73" s="6">
        <v>1</v>
      </c>
      <c r="C73" s="6" t="s">
        <v>16</v>
      </c>
      <c r="D73" s="5">
        <v>44216</v>
      </c>
      <c r="E73" s="6">
        <v>18</v>
      </c>
      <c r="F73" s="7" t="str">
        <f t="shared" si="1"/>
        <v>TN_C0G_F1_BIM_IV</v>
      </c>
      <c r="G73" s="9">
        <v>7.2888888888888879</v>
      </c>
      <c r="H73" s="9">
        <v>6.8333333333333321</v>
      </c>
      <c r="I73" s="9">
        <v>7.166666666666667</v>
      </c>
      <c r="J73" s="9"/>
      <c r="K73" s="9">
        <v>7</v>
      </c>
      <c r="L73" s="9">
        <v>7.9111111111111114</v>
      </c>
      <c r="M73" s="9">
        <v>7.3444444444444441</v>
      </c>
      <c r="N73" s="9">
        <v>6.4636363636363647</v>
      </c>
      <c r="O73" s="9">
        <v>67.796969696969697</v>
      </c>
    </row>
    <row r="74" spans="1:15" x14ac:dyDescent="0.3">
      <c r="A74" s="5" t="s">
        <v>72</v>
      </c>
      <c r="B74" s="6">
        <v>2</v>
      </c>
      <c r="C74" s="6" t="s">
        <v>16</v>
      </c>
      <c r="D74" s="5">
        <v>44230</v>
      </c>
      <c r="E74" s="6">
        <v>20</v>
      </c>
      <c r="F74" s="7" t="str">
        <f t="shared" si="1"/>
        <v>TN_C0G_F2_BIM_IV</v>
      </c>
      <c r="G74" s="9">
        <v>7.1777777777777789</v>
      </c>
      <c r="H74" s="9">
        <v>7.1999999999999993</v>
      </c>
      <c r="I74" s="9">
        <v>7.0222222222222221</v>
      </c>
      <c r="J74" s="9"/>
      <c r="K74" s="9">
        <v>7.3777777777777782</v>
      </c>
      <c r="L74" s="9">
        <v>8.0444444444444443</v>
      </c>
      <c r="M74" s="9">
        <v>6.9777777777777779</v>
      </c>
      <c r="N74" s="9">
        <v>7.1399999999999988</v>
      </c>
      <c r="O74" s="9">
        <v>68.733333333333334</v>
      </c>
    </row>
    <row r="75" spans="1:15" x14ac:dyDescent="0.3">
      <c r="A75" s="5" t="s">
        <v>72</v>
      </c>
      <c r="B75" s="6">
        <v>1</v>
      </c>
      <c r="C75" s="6" t="s">
        <v>17</v>
      </c>
      <c r="D75" s="5">
        <v>44251</v>
      </c>
      <c r="E75" s="6">
        <v>23</v>
      </c>
      <c r="F75" s="7" t="str">
        <f t="shared" si="1"/>
        <v>TN_C0G_F1_BIM_V</v>
      </c>
      <c r="G75" s="9">
        <v>7.6099999999999897</v>
      </c>
      <c r="H75" s="9">
        <v>7.5</v>
      </c>
      <c r="I75" s="9">
        <v>7.44</v>
      </c>
      <c r="J75" s="9"/>
      <c r="K75" s="9">
        <v>7.21</v>
      </c>
      <c r="L75" s="9">
        <v>8.1</v>
      </c>
      <c r="M75" s="9">
        <v>7.63</v>
      </c>
      <c r="N75" s="9">
        <v>6.1899999999999897</v>
      </c>
      <c r="O75" s="9">
        <v>70.503999999999976</v>
      </c>
    </row>
    <row r="76" spans="1:15" x14ac:dyDescent="0.3">
      <c r="A76" s="5" t="s">
        <v>72</v>
      </c>
      <c r="B76" s="6">
        <v>2</v>
      </c>
      <c r="C76" s="6" t="s">
        <v>17</v>
      </c>
      <c r="D76" s="5">
        <v>44265</v>
      </c>
      <c r="E76" s="6">
        <v>25</v>
      </c>
      <c r="F76" s="7" t="str">
        <f t="shared" si="1"/>
        <v>TN_C0G_F2_BIM_V</v>
      </c>
      <c r="G76" s="9">
        <v>7.5</v>
      </c>
      <c r="H76" s="9">
        <v>7.4399999999999897</v>
      </c>
      <c r="I76" s="9">
        <v>7.65</v>
      </c>
      <c r="J76" s="9"/>
      <c r="K76" s="9">
        <v>6.99</v>
      </c>
      <c r="L76" s="9">
        <v>7.8599999999999897</v>
      </c>
      <c r="M76" s="9">
        <v>7.87</v>
      </c>
      <c r="N76" s="9">
        <v>7.48888888888888</v>
      </c>
      <c r="O76" s="9">
        <v>71.716888888888846</v>
      </c>
    </row>
    <row r="77" spans="1:15" x14ac:dyDescent="0.3">
      <c r="A77" s="5" t="s">
        <v>72</v>
      </c>
      <c r="B77" s="6">
        <v>1</v>
      </c>
      <c r="C77" s="6" t="s">
        <v>19</v>
      </c>
      <c r="D77" s="5">
        <v>44279</v>
      </c>
      <c r="E77" s="6">
        <v>27</v>
      </c>
      <c r="F77" s="7" t="str">
        <f t="shared" si="1"/>
        <v>TN_C0G_F1_BIM_VI</v>
      </c>
      <c r="G77" s="9">
        <v>7.5</v>
      </c>
      <c r="H77" s="9">
        <v>7.1555555555555497</v>
      </c>
      <c r="I77" s="9">
        <v>7.4</v>
      </c>
      <c r="J77" s="9"/>
      <c r="K77" s="9">
        <v>7.55555555555555</v>
      </c>
      <c r="L77" s="9">
        <v>5.2777777777777697</v>
      </c>
      <c r="M77" s="9">
        <v>7.5111111111111102</v>
      </c>
      <c r="N77" s="9">
        <v>5.33</v>
      </c>
      <c r="O77" s="9">
        <v>66.137777777777757</v>
      </c>
    </row>
    <row r="78" spans="1:15" x14ac:dyDescent="0.3">
      <c r="A78" s="5" t="s">
        <v>72</v>
      </c>
      <c r="B78" s="6">
        <v>2</v>
      </c>
      <c r="C78" s="6" t="s">
        <v>19</v>
      </c>
      <c r="D78" s="5">
        <v>44286</v>
      </c>
      <c r="E78" s="6">
        <v>28</v>
      </c>
      <c r="F78" s="7" t="str">
        <f t="shared" si="1"/>
        <v>TN_C0G_F2_BIM_VI</v>
      </c>
      <c r="G78" s="9">
        <v>7.5200000000000005</v>
      </c>
      <c r="H78" s="9">
        <v>6.9599999999999991</v>
      </c>
      <c r="I78" s="9">
        <v>7.3499999999999988</v>
      </c>
      <c r="J78" s="9"/>
      <c r="K78" s="9">
        <v>7.1</v>
      </c>
      <c r="L78" s="9">
        <v>7.44</v>
      </c>
      <c r="M78" s="9">
        <v>6.8600000000000012</v>
      </c>
      <c r="N78" s="9">
        <v>7.19</v>
      </c>
      <c r="O78" s="9">
        <v>68.454999999999998</v>
      </c>
    </row>
    <row r="79" spans="1:15" x14ac:dyDescent="0.3">
      <c r="A79" s="5" t="s">
        <v>73</v>
      </c>
      <c r="B79" s="6">
        <v>1</v>
      </c>
      <c r="C79" s="6" t="s">
        <v>13</v>
      </c>
      <c r="D79" s="5">
        <v>44083</v>
      </c>
      <c r="E79" s="6">
        <v>2</v>
      </c>
      <c r="F79" s="7" t="str">
        <f t="shared" si="1"/>
        <v>TN_C0H_F1_BIM_I</v>
      </c>
      <c r="G79" s="8">
        <v>7.2454545454545443</v>
      </c>
      <c r="H79" s="8">
        <v>6.3272727272727272</v>
      </c>
      <c r="I79" s="8">
        <v>6.6454545454545464</v>
      </c>
      <c r="J79" s="8"/>
      <c r="K79" s="8">
        <v>6.8090909090909095</v>
      </c>
      <c r="L79" s="8">
        <v>6.7363636363636354</v>
      </c>
      <c r="M79" s="8">
        <v>7.3000000000000007</v>
      </c>
      <c r="N79" s="8">
        <v>7.9727272727272727</v>
      </c>
      <c r="O79" s="8">
        <v>66.011818181818185</v>
      </c>
    </row>
    <row r="80" spans="1:15" x14ac:dyDescent="0.3">
      <c r="A80" s="5" t="s">
        <v>73</v>
      </c>
      <c r="B80" s="6">
        <v>1</v>
      </c>
      <c r="C80" s="6" t="s">
        <v>15</v>
      </c>
      <c r="D80" s="5">
        <v>44154</v>
      </c>
      <c r="E80" s="6">
        <v>11</v>
      </c>
      <c r="F80" s="7" t="str">
        <f t="shared" si="1"/>
        <v>TN_C0H_F1_BIM_III</v>
      </c>
      <c r="G80" s="8">
        <v>7.6099999999999994</v>
      </c>
      <c r="H80" s="8">
        <v>7.12</v>
      </c>
      <c r="I80" s="8">
        <v>7.33</v>
      </c>
      <c r="J80" s="8"/>
      <c r="K80" s="8">
        <v>7.26</v>
      </c>
      <c r="L80" s="8">
        <v>7.06</v>
      </c>
      <c r="M80" s="8">
        <v>7.38</v>
      </c>
      <c r="N80" s="8">
        <v>5.4750000000000005</v>
      </c>
      <c r="O80" s="8">
        <v>67.603000000000009</v>
      </c>
    </row>
    <row r="81" spans="1:15" x14ac:dyDescent="0.3">
      <c r="A81" s="5" t="s">
        <v>73</v>
      </c>
      <c r="B81" s="6">
        <v>2</v>
      </c>
      <c r="C81" s="6" t="s">
        <v>15</v>
      </c>
      <c r="D81" s="5">
        <v>44183</v>
      </c>
      <c r="E81" s="6">
        <v>16</v>
      </c>
      <c r="F81" s="7" t="str">
        <f t="shared" si="1"/>
        <v>TN_C0H_F2_BIM_III</v>
      </c>
      <c r="G81" s="8">
        <v>7.1727272727272728</v>
      </c>
      <c r="H81" s="9">
        <v>7.0272727272727282</v>
      </c>
      <c r="I81" s="9">
        <v>7.1909090909090905</v>
      </c>
      <c r="J81" s="9"/>
      <c r="K81" s="9">
        <v>7.4272727272727277</v>
      </c>
      <c r="L81" s="9">
        <v>7.0090909090909088</v>
      </c>
      <c r="M81" s="9">
        <v>7.6272727272727279</v>
      </c>
      <c r="N81" s="9">
        <v>6.37</v>
      </c>
      <c r="O81" s="9">
        <v>67.789090909090902</v>
      </c>
    </row>
    <row r="82" spans="1:15" x14ac:dyDescent="0.3">
      <c r="A82" s="5" t="s">
        <v>73</v>
      </c>
      <c r="B82" s="6">
        <v>1</v>
      </c>
      <c r="C82" s="6" t="s">
        <v>16</v>
      </c>
      <c r="D82" s="5">
        <v>44216</v>
      </c>
      <c r="E82" s="6">
        <v>18</v>
      </c>
      <c r="F82" s="7" t="str">
        <f t="shared" si="1"/>
        <v>TN_C0H_F1_BIM_IV</v>
      </c>
      <c r="G82" s="9">
        <v>7.0777777777777793</v>
      </c>
      <c r="H82" s="9">
        <v>7.0666666666666664</v>
      </c>
      <c r="I82" s="9">
        <v>6.9666666666666659</v>
      </c>
      <c r="J82" s="9"/>
      <c r="K82" s="9">
        <v>6.8999999999999995</v>
      </c>
      <c r="L82" s="9">
        <v>5.5777777777777775</v>
      </c>
      <c r="M82" s="9">
        <v>7.4444444444444446</v>
      </c>
      <c r="N82" s="9">
        <v>6.333333333333333</v>
      </c>
      <c r="O82" s="9">
        <v>65.084444444444443</v>
      </c>
    </row>
    <row r="83" spans="1:15" x14ac:dyDescent="0.3">
      <c r="A83" s="5" t="s">
        <v>73</v>
      </c>
      <c r="B83" s="6">
        <v>2</v>
      </c>
      <c r="C83" s="6" t="s">
        <v>16</v>
      </c>
      <c r="D83" s="5">
        <v>44223</v>
      </c>
      <c r="E83" s="6">
        <v>19</v>
      </c>
      <c r="F83" s="7" t="str">
        <f t="shared" si="1"/>
        <v>TN_C0H_F2_BIM_IV</v>
      </c>
      <c r="G83" s="9">
        <v>7.6000000000000005</v>
      </c>
      <c r="H83" s="9">
        <v>7.3999999999999995</v>
      </c>
      <c r="I83" s="9">
        <v>7.4454545454545444</v>
      </c>
      <c r="J83" s="9"/>
      <c r="K83" s="9">
        <v>7.4636363636363647</v>
      </c>
      <c r="L83" s="9">
        <v>7.2363636363636354</v>
      </c>
      <c r="M83" s="9">
        <v>7.3909090909090915</v>
      </c>
      <c r="N83" s="9">
        <v>6.5111111111111111</v>
      </c>
      <c r="O83" s="9">
        <v>69.716565656565649</v>
      </c>
    </row>
    <row r="84" spans="1:15" x14ac:dyDescent="0.3">
      <c r="A84" s="5" t="s">
        <v>73</v>
      </c>
      <c r="B84" s="6">
        <v>1</v>
      </c>
      <c r="C84" s="6" t="s">
        <v>17</v>
      </c>
      <c r="D84" s="5">
        <v>44258</v>
      </c>
      <c r="E84" s="6">
        <v>24</v>
      </c>
      <c r="F84" s="7" t="str">
        <f t="shared" si="1"/>
        <v>TN_C0H_F1_BIM_V</v>
      </c>
      <c r="G84" s="9">
        <v>7.55</v>
      </c>
      <c r="H84" s="9">
        <v>6.48</v>
      </c>
      <c r="I84" s="9">
        <v>7.33</v>
      </c>
      <c r="J84" s="9"/>
      <c r="K84" s="9">
        <v>7.46</v>
      </c>
      <c r="L84" s="9">
        <v>5</v>
      </c>
      <c r="M84" s="9">
        <v>7.57</v>
      </c>
      <c r="N84" s="9">
        <v>5.58</v>
      </c>
      <c r="O84" s="9">
        <v>64.84099999999998</v>
      </c>
    </row>
    <row r="85" spans="1:15" x14ac:dyDescent="0.3">
      <c r="A85" s="5" t="s">
        <v>73</v>
      </c>
      <c r="B85" s="6">
        <v>1</v>
      </c>
      <c r="C85" s="6" t="s">
        <v>19</v>
      </c>
      <c r="D85" s="5">
        <v>44272</v>
      </c>
      <c r="E85" s="6">
        <v>26</v>
      </c>
      <c r="F85" s="7" t="str">
        <f t="shared" si="1"/>
        <v>TN_C0H_F1_BIM_VI</v>
      </c>
      <c r="G85" s="9">
        <v>7.58</v>
      </c>
      <c r="H85" s="9">
        <v>7.31</v>
      </c>
      <c r="I85" s="9">
        <v>7.1</v>
      </c>
      <c r="J85" s="9"/>
      <c r="K85" s="9">
        <v>7.56</v>
      </c>
      <c r="L85" s="9">
        <v>5.09</v>
      </c>
      <c r="M85" s="9">
        <v>7.04</v>
      </c>
      <c r="N85" s="9">
        <v>6.0777777777777784</v>
      </c>
      <c r="O85" s="9">
        <v>65.99377777777778</v>
      </c>
    </row>
    <row r="86" spans="1:15" x14ac:dyDescent="0.3">
      <c r="A86" s="5" t="s">
        <v>74</v>
      </c>
      <c r="B86" s="6">
        <v>1</v>
      </c>
      <c r="C86" s="6" t="s">
        <v>13</v>
      </c>
      <c r="D86" s="5">
        <v>44083</v>
      </c>
      <c r="E86" s="6">
        <v>2</v>
      </c>
      <c r="F86" s="7" t="str">
        <f t="shared" si="1"/>
        <v>TN_C0I_F1_BIM_I</v>
      </c>
      <c r="G86" s="8">
        <v>7.3272727272727272</v>
      </c>
      <c r="H86" s="8">
        <v>6.6727272727272728</v>
      </c>
      <c r="I86" s="8">
        <v>6.963636363636363</v>
      </c>
      <c r="J86" s="8"/>
      <c r="K86" s="8">
        <v>6.8454545454545466</v>
      </c>
      <c r="L86" s="8">
        <v>6.1181818181818182</v>
      </c>
      <c r="M86" s="8">
        <v>6.8181818181818183</v>
      </c>
      <c r="N86" s="8">
        <v>6.2636363636363628</v>
      </c>
      <c r="O86" s="8">
        <v>64.396363636363645</v>
      </c>
    </row>
    <row r="87" spans="1:15" x14ac:dyDescent="0.3">
      <c r="A87" s="10" t="s">
        <v>74</v>
      </c>
      <c r="B87" s="6">
        <v>1</v>
      </c>
      <c r="C87" s="6" t="s">
        <v>14</v>
      </c>
      <c r="D87" s="5">
        <v>44132</v>
      </c>
      <c r="E87" s="6">
        <v>9</v>
      </c>
      <c r="F87" s="7" t="str">
        <f t="shared" si="1"/>
        <v>TN_C0I_F1_BIM_II</v>
      </c>
      <c r="G87" s="8">
        <v>7.1999999999999993</v>
      </c>
      <c r="H87" s="8">
        <v>6.1999999999999993</v>
      </c>
      <c r="I87" s="8">
        <v>6.7416666666666663</v>
      </c>
      <c r="J87" s="8"/>
      <c r="K87" s="8">
        <v>7.166666666666667</v>
      </c>
      <c r="L87" s="8">
        <v>5.6166666666666663</v>
      </c>
      <c r="M87" s="8">
        <v>7.0083333333333329</v>
      </c>
      <c r="N87" s="8">
        <v>5.8909090909090915</v>
      </c>
      <c r="O87" s="8">
        <v>62.645909090909086</v>
      </c>
    </row>
    <row r="88" spans="1:15" x14ac:dyDescent="0.3">
      <c r="A88" s="5" t="s">
        <v>74</v>
      </c>
      <c r="B88" s="6">
        <v>2</v>
      </c>
      <c r="C88" s="6" t="s">
        <v>15</v>
      </c>
      <c r="D88" s="5">
        <v>44167</v>
      </c>
      <c r="E88" s="6">
        <v>13</v>
      </c>
      <c r="F88" s="7" t="str">
        <f t="shared" si="1"/>
        <v>TN_C0I_F2_BIM_III</v>
      </c>
      <c r="G88" s="8">
        <v>7.4300000000000015</v>
      </c>
      <c r="H88" s="8">
        <v>6.9700000000000015</v>
      </c>
      <c r="I88" s="8">
        <v>7.31</v>
      </c>
      <c r="J88" s="8"/>
      <c r="K88" s="8">
        <v>6.92</v>
      </c>
      <c r="L88" s="8">
        <v>7.3599999999999994</v>
      </c>
      <c r="M88" s="8">
        <v>7.1199999999999992</v>
      </c>
      <c r="N88" s="8">
        <v>6.85</v>
      </c>
      <c r="O88" s="8">
        <v>67.990000000000009</v>
      </c>
    </row>
    <row r="89" spans="1:15" x14ac:dyDescent="0.3">
      <c r="A89" s="5" t="s">
        <v>74</v>
      </c>
      <c r="B89" s="6">
        <v>2</v>
      </c>
      <c r="C89" s="6" t="s">
        <v>15</v>
      </c>
      <c r="D89" s="5">
        <v>44181</v>
      </c>
      <c r="E89" s="6">
        <v>15</v>
      </c>
      <c r="F89" s="7" t="str">
        <f t="shared" si="1"/>
        <v>TN_C0I_F2_BIM_III</v>
      </c>
      <c r="G89" s="8">
        <v>7.3818181818181818</v>
      </c>
      <c r="H89" s="8">
        <v>6.8181818181818183</v>
      </c>
      <c r="I89" s="8">
        <v>7.2272727272727275</v>
      </c>
      <c r="J89" s="8"/>
      <c r="K89" s="8">
        <v>7.4363636363636374</v>
      </c>
      <c r="L89" s="8">
        <v>5.3909090909090907</v>
      </c>
      <c r="M89" s="8">
        <v>6.8</v>
      </c>
      <c r="N89" s="8">
        <v>6.1636363636363631</v>
      </c>
      <c r="O89" s="8">
        <v>64.939090909090908</v>
      </c>
    </row>
    <row r="90" spans="1:15" x14ac:dyDescent="0.3">
      <c r="A90" s="5" t="s">
        <v>74</v>
      </c>
      <c r="B90" s="6">
        <v>1</v>
      </c>
      <c r="C90" s="6" t="s">
        <v>16</v>
      </c>
      <c r="D90" s="5">
        <v>44209</v>
      </c>
      <c r="E90" s="6">
        <v>17</v>
      </c>
      <c r="F90" s="7" t="str">
        <f t="shared" si="1"/>
        <v>TN_C0I_F1_BIM_IV</v>
      </c>
      <c r="G90" s="8">
        <v>7.3454545454545466</v>
      </c>
      <c r="H90" s="9">
        <v>6.7181818181818187</v>
      </c>
      <c r="I90" s="9">
        <v>6.9090909090909092</v>
      </c>
      <c r="J90" s="9"/>
      <c r="K90" s="9">
        <v>7.1545454545454552</v>
      </c>
      <c r="L90" s="9">
        <v>6.754545454545454</v>
      </c>
      <c r="M90" s="9">
        <v>7.5454545454545459</v>
      </c>
      <c r="N90" s="9">
        <v>6.3727272727272721</v>
      </c>
      <c r="O90" s="9">
        <v>66.416363636363641</v>
      </c>
    </row>
    <row r="91" spans="1:15" x14ac:dyDescent="0.3">
      <c r="A91" s="5" t="s">
        <v>74</v>
      </c>
      <c r="B91" s="6">
        <v>2</v>
      </c>
      <c r="C91" s="6" t="s">
        <v>16</v>
      </c>
      <c r="D91" s="5">
        <v>44230</v>
      </c>
      <c r="E91" s="6">
        <v>20</v>
      </c>
      <c r="F91" s="7" t="str">
        <f t="shared" si="1"/>
        <v>TN_C0I_F2_BIM_IV</v>
      </c>
      <c r="G91" s="9">
        <v>6.4222222222222216</v>
      </c>
      <c r="H91" s="9">
        <v>6.7333333333333325</v>
      </c>
      <c r="I91" s="9">
        <v>6.322222222222222</v>
      </c>
      <c r="J91" s="9"/>
      <c r="K91" s="9">
        <v>7.7888888888888879</v>
      </c>
      <c r="L91" s="9">
        <v>8.1444444444444439</v>
      </c>
      <c r="M91" s="9">
        <v>8.3000000000000007</v>
      </c>
      <c r="N91" s="9">
        <v>6.8599999999999994</v>
      </c>
      <c r="O91" s="9">
        <v>67.368888888888875</v>
      </c>
    </row>
    <row r="92" spans="1:15" x14ac:dyDescent="0.3">
      <c r="A92" s="5" t="s">
        <v>74</v>
      </c>
      <c r="B92" s="6">
        <v>1</v>
      </c>
      <c r="C92" s="6" t="s">
        <v>19</v>
      </c>
      <c r="D92" s="5">
        <v>44286</v>
      </c>
      <c r="E92" s="6">
        <v>28</v>
      </c>
      <c r="F92" s="7" t="str">
        <f t="shared" si="1"/>
        <v>TN_C0I_F1_BIM_VI</v>
      </c>
      <c r="G92" s="9">
        <v>6.7200000000000006</v>
      </c>
      <c r="H92" s="9">
        <v>6.6</v>
      </c>
      <c r="I92" s="9">
        <v>6.7700000000000005</v>
      </c>
      <c r="J92" s="9"/>
      <c r="K92" s="9">
        <v>6.7200000000000006</v>
      </c>
      <c r="L92" s="9">
        <v>6.5600000000000005</v>
      </c>
      <c r="M92" s="9">
        <v>7.6599999999999993</v>
      </c>
      <c r="N92" s="9">
        <v>6.28</v>
      </c>
      <c r="O92" s="9">
        <v>64.331000000000003</v>
      </c>
    </row>
    <row r="93" spans="1:15" x14ac:dyDescent="0.3">
      <c r="A93" s="5" t="s">
        <v>75</v>
      </c>
      <c r="B93" s="6">
        <v>1</v>
      </c>
      <c r="C93" s="6" t="s">
        <v>13</v>
      </c>
      <c r="D93" s="5">
        <v>44090</v>
      </c>
      <c r="E93" s="6">
        <v>3</v>
      </c>
      <c r="F93" s="7" t="str">
        <f t="shared" si="1"/>
        <v>TN_C0L_F1_BIM_I</v>
      </c>
      <c r="G93" s="8">
        <v>7.75</v>
      </c>
      <c r="H93" s="8">
        <v>6.97</v>
      </c>
      <c r="I93" s="8">
        <v>7.16</v>
      </c>
      <c r="J93" s="8"/>
      <c r="K93" s="9">
        <v>7.2</v>
      </c>
      <c r="L93" s="9">
        <v>7.85</v>
      </c>
      <c r="M93" s="9">
        <v>7.93</v>
      </c>
      <c r="N93" s="9">
        <v>6.5</v>
      </c>
      <c r="O93" s="9">
        <v>69.760000000000005</v>
      </c>
    </row>
    <row r="94" spans="1:15" x14ac:dyDescent="0.3">
      <c r="A94" s="5" t="s">
        <v>75</v>
      </c>
      <c r="B94" s="6">
        <v>1</v>
      </c>
      <c r="C94" s="6" t="s">
        <v>14</v>
      </c>
      <c r="D94" s="5">
        <v>44113</v>
      </c>
      <c r="E94" s="6">
        <v>6</v>
      </c>
      <c r="F94" s="7" t="str">
        <f t="shared" si="1"/>
        <v>TN_C0L_F1_BIM_II</v>
      </c>
      <c r="G94" s="8">
        <v>7.1545454545454552</v>
      </c>
      <c r="H94" s="8">
        <v>6.709090909090909</v>
      </c>
      <c r="I94" s="8">
        <v>6.7</v>
      </c>
      <c r="J94" s="8"/>
      <c r="K94" s="8">
        <v>7.6636363636363631</v>
      </c>
      <c r="L94" s="8">
        <v>7.0636363636363635</v>
      </c>
      <c r="M94" s="8">
        <v>8.0090909090909079</v>
      </c>
      <c r="N94" s="8">
        <v>6</v>
      </c>
      <c r="O94" s="8">
        <v>66.768181818181816</v>
      </c>
    </row>
    <row r="95" spans="1:15" x14ac:dyDescent="0.3">
      <c r="A95" s="5" t="s">
        <v>75</v>
      </c>
      <c r="B95" s="6">
        <v>1</v>
      </c>
      <c r="C95" s="6" t="s">
        <v>15</v>
      </c>
      <c r="D95" s="5">
        <v>44167</v>
      </c>
      <c r="E95" s="6">
        <v>13</v>
      </c>
      <c r="F95" s="7" t="str">
        <f t="shared" si="1"/>
        <v>TN_C0L_F1_BIM_III</v>
      </c>
      <c r="G95" s="8">
        <v>7.2900000000000009</v>
      </c>
      <c r="H95" s="8">
        <v>6.8400000000000007</v>
      </c>
      <c r="I95" s="8">
        <v>6.8400000000000007</v>
      </c>
      <c r="J95" s="8"/>
      <c r="K95" s="8">
        <v>6.95</v>
      </c>
      <c r="L95" s="8">
        <v>5.49</v>
      </c>
      <c r="M95" s="8">
        <v>7.83</v>
      </c>
      <c r="N95" s="8">
        <v>6.9</v>
      </c>
      <c r="O95" s="8">
        <v>65.852000000000004</v>
      </c>
    </row>
    <row r="96" spans="1:15" x14ac:dyDescent="0.3">
      <c r="A96" s="5" t="s">
        <v>75</v>
      </c>
      <c r="B96" s="6">
        <v>1</v>
      </c>
      <c r="C96" s="6" t="s">
        <v>16</v>
      </c>
      <c r="D96" s="5">
        <v>44230</v>
      </c>
      <c r="E96" s="6">
        <v>20</v>
      </c>
      <c r="F96" s="7" t="str">
        <f t="shared" si="1"/>
        <v>TN_C0L_F1_BIM_IV</v>
      </c>
      <c r="G96" s="9">
        <v>7.3000000000000007</v>
      </c>
      <c r="H96" s="9">
        <v>7.3999999999999995</v>
      </c>
      <c r="I96" s="9">
        <v>7.4333333333333336</v>
      </c>
      <c r="J96" s="9"/>
      <c r="K96" s="9">
        <v>7.2999999999999989</v>
      </c>
      <c r="L96" s="9">
        <v>5.4555555555555557</v>
      </c>
      <c r="M96" s="9">
        <v>6.6999999999999993</v>
      </c>
      <c r="N96" s="9">
        <v>6.74</v>
      </c>
      <c r="O96" s="9">
        <v>66.572222222222223</v>
      </c>
    </row>
    <row r="97" spans="1:15" x14ac:dyDescent="0.3">
      <c r="A97" s="5" t="s">
        <v>75</v>
      </c>
      <c r="B97" s="6">
        <v>1</v>
      </c>
      <c r="C97" s="6" t="s">
        <v>17</v>
      </c>
      <c r="D97" s="5">
        <v>44244</v>
      </c>
      <c r="E97" s="6">
        <v>22</v>
      </c>
      <c r="F97" s="7" t="str">
        <f t="shared" si="1"/>
        <v>TN_C0L_F1_BIM_V</v>
      </c>
      <c r="G97" s="9">
        <v>7.2888888888888879</v>
      </c>
      <c r="H97" s="9">
        <v>7.1111111111111107</v>
      </c>
      <c r="I97" s="9">
        <v>6.9444444444444446</v>
      </c>
      <c r="J97" s="9"/>
      <c r="K97" s="9">
        <v>6.4999999999999991</v>
      </c>
      <c r="L97" s="9">
        <v>5.4888888888888889</v>
      </c>
      <c r="M97" s="9">
        <v>7.6444444444444439</v>
      </c>
      <c r="N97" s="9">
        <v>6.82</v>
      </c>
      <c r="O97" s="9">
        <v>65.743333333333325</v>
      </c>
    </row>
    <row r="98" spans="1:15" x14ac:dyDescent="0.3">
      <c r="A98" s="5" t="s">
        <v>75</v>
      </c>
      <c r="B98" s="6">
        <v>1</v>
      </c>
      <c r="C98" s="6" t="s">
        <v>19</v>
      </c>
      <c r="D98" s="5">
        <v>44272</v>
      </c>
      <c r="E98" s="6">
        <v>26</v>
      </c>
      <c r="F98" s="7" t="str">
        <f t="shared" si="1"/>
        <v>TN_C0L_F1_BIM_VI</v>
      </c>
      <c r="G98" s="9">
        <v>7.18</v>
      </c>
      <c r="H98" s="9">
        <v>7.32</v>
      </c>
      <c r="I98" s="9">
        <v>6.97</v>
      </c>
      <c r="J98" s="9"/>
      <c r="K98" s="9">
        <v>6.71</v>
      </c>
      <c r="L98" s="9">
        <v>7.62</v>
      </c>
      <c r="M98" s="9">
        <v>7.08</v>
      </c>
      <c r="N98" s="9">
        <v>5.155555555555555</v>
      </c>
      <c r="O98" s="9">
        <v>65.920555555555552</v>
      </c>
    </row>
    <row r="99" spans="1:15" x14ac:dyDescent="0.3">
      <c r="A99" s="5" t="s">
        <v>76</v>
      </c>
      <c r="B99" s="6">
        <v>1</v>
      </c>
      <c r="C99" s="6" t="s">
        <v>13</v>
      </c>
      <c r="D99" s="5">
        <v>44083</v>
      </c>
      <c r="E99" s="6">
        <v>2</v>
      </c>
      <c r="F99" s="7" t="str">
        <f t="shared" si="1"/>
        <v>TN_C0M_F1_BIM_I</v>
      </c>
      <c r="G99" s="8">
        <v>7.6272727272727261</v>
      </c>
      <c r="H99" s="8">
        <v>7.4818181818181815</v>
      </c>
      <c r="I99" s="8">
        <v>7.3636363636363633</v>
      </c>
      <c r="J99" s="8"/>
      <c r="K99" s="8">
        <v>6.4454545454545444</v>
      </c>
      <c r="L99" s="8">
        <v>5.0454545454545459</v>
      </c>
      <c r="M99" s="8">
        <v>6.1818181818181834</v>
      </c>
      <c r="N99" s="8">
        <v>7.1272727272727261</v>
      </c>
      <c r="O99" s="8">
        <v>65.606363636363639</v>
      </c>
    </row>
    <row r="100" spans="1:15" x14ac:dyDescent="0.3">
      <c r="A100" s="5" t="s">
        <v>76</v>
      </c>
      <c r="B100" s="6">
        <v>2</v>
      </c>
      <c r="C100" s="6" t="s">
        <v>13</v>
      </c>
      <c r="D100" s="5">
        <v>44104</v>
      </c>
      <c r="E100" s="6">
        <v>5</v>
      </c>
      <c r="F100" s="7" t="str">
        <f t="shared" si="1"/>
        <v>TN_C0M_F2_BIM_I</v>
      </c>
      <c r="G100" s="8">
        <v>7.3454545454545439</v>
      </c>
      <c r="H100" s="8">
        <v>7.4090909090909074</v>
      </c>
      <c r="I100" s="8">
        <v>7.1818181818181808</v>
      </c>
      <c r="J100" s="8"/>
      <c r="K100" s="8">
        <v>6.536363636363637</v>
      </c>
      <c r="L100" s="8">
        <v>6.327272727272728</v>
      </c>
      <c r="M100" s="8">
        <v>7.2363636363636354</v>
      </c>
      <c r="N100" s="8">
        <v>6.7272727272727275</v>
      </c>
      <c r="O100" s="8">
        <v>67.030909090909091</v>
      </c>
    </row>
    <row r="101" spans="1:15" x14ac:dyDescent="0.3">
      <c r="A101" s="10" t="s">
        <v>76</v>
      </c>
      <c r="B101" s="6">
        <v>1</v>
      </c>
      <c r="C101" s="6" t="s">
        <v>14</v>
      </c>
      <c r="D101" s="5">
        <v>44113</v>
      </c>
      <c r="E101" s="6">
        <v>6</v>
      </c>
      <c r="F101" s="7" t="str">
        <f t="shared" si="1"/>
        <v>TN_C0M_F1_BIM_II</v>
      </c>
      <c r="G101" s="8">
        <v>7.6000000000000005</v>
      </c>
      <c r="H101" s="8">
        <v>7.2090909090909099</v>
      </c>
      <c r="I101" s="8">
        <v>7.1545454545454552</v>
      </c>
      <c r="J101" s="8"/>
      <c r="K101" s="8">
        <v>7.4272727272727277</v>
      </c>
      <c r="L101" s="8">
        <v>6.4909090909090903</v>
      </c>
      <c r="M101" s="8">
        <v>7.8999999999999995</v>
      </c>
      <c r="N101" s="8">
        <v>6.6</v>
      </c>
      <c r="O101" s="8">
        <v>68.847272727272724</v>
      </c>
    </row>
    <row r="102" spans="1:15" x14ac:dyDescent="0.3">
      <c r="A102" s="5" t="s">
        <v>76</v>
      </c>
      <c r="B102" s="6">
        <v>2</v>
      </c>
      <c r="C102" s="6" t="s">
        <v>14</v>
      </c>
      <c r="D102" s="5">
        <v>44125</v>
      </c>
      <c r="E102" s="6">
        <v>8</v>
      </c>
      <c r="F102" s="7" t="str">
        <f t="shared" si="1"/>
        <v>TN_C0M_F2_BIM_II</v>
      </c>
      <c r="G102" s="8">
        <v>7.4692307692307685</v>
      </c>
      <c r="H102" s="8">
        <v>7.1461538461538456</v>
      </c>
      <c r="I102" s="8">
        <v>7.0615384615384604</v>
      </c>
      <c r="J102" s="8"/>
      <c r="K102" s="8">
        <v>6.7846153846153836</v>
      </c>
      <c r="L102" s="8">
        <v>5.7307692307692308</v>
      </c>
      <c r="M102" s="8">
        <v>7.2615384615384606</v>
      </c>
      <c r="N102" s="8">
        <v>7.1583333333333323</v>
      </c>
      <c r="O102" s="8">
        <v>66.679102564102564</v>
      </c>
    </row>
    <row r="103" spans="1:15" x14ac:dyDescent="0.3">
      <c r="A103" s="5" t="s">
        <v>76</v>
      </c>
      <c r="B103" s="6">
        <v>3</v>
      </c>
      <c r="C103" s="6" t="s">
        <v>14</v>
      </c>
      <c r="D103" s="5">
        <v>44139</v>
      </c>
      <c r="E103" s="6">
        <v>10</v>
      </c>
      <c r="F103" s="7" t="str">
        <f t="shared" si="1"/>
        <v>TN_C0M_F3_BIM_II</v>
      </c>
      <c r="G103" s="8">
        <v>7.2181818181818187</v>
      </c>
      <c r="H103" s="8">
        <v>6.8909090909090915</v>
      </c>
      <c r="I103" s="8">
        <v>7.2727272727272725</v>
      </c>
      <c r="J103" s="8"/>
      <c r="K103" s="8">
        <v>6.8727272727272721</v>
      </c>
      <c r="L103" s="8">
        <v>4.8909090909090915</v>
      </c>
      <c r="M103" s="8">
        <v>7.1181818181818182</v>
      </c>
      <c r="N103" s="8">
        <v>6.8333333333333321</v>
      </c>
      <c r="O103" s="8">
        <v>64.88878787878788</v>
      </c>
    </row>
    <row r="104" spans="1:15" x14ac:dyDescent="0.3">
      <c r="A104" s="5" t="s">
        <v>76</v>
      </c>
      <c r="B104" s="6">
        <v>1</v>
      </c>
      <c r="C104" s="6" t="s">
        <v>15</v>
      </c>
      <c r="D104" s="5">
        <v>44154</v>
      </c>
      <c r="E104" s="6">
        <v>11</v>
      </c>
      <c r="F104" s="7" t="str">
        <f t="shared" si="1"/>
        <v>TN_C0M_F1_BIM_III</v>
      </c>
      <c r="G104" s="8">
        <v>7.3777777777777782</v>
      </c>
      <c r="H104" s="8">
        <v>7.0555555555555554</v>
      </c>
      <c r="I104" s="8">
        <v>7.1777777777777771</v>
      </c>
      <c r="J104" s="8"/>
      <c r="K104" s="8">
        <v>7.1999999999999993</v>
      </c>
      <c r="L104" s="8">
        <v>6.6111111111111116</v>
      </c>
      <c r="M104" s="8">
        <v>7.8777777777777764</v>
      </c>
      <c r="N104" s="8">
        <v>6.3083333333333336</v>
      </c>
      <c r="O104" s="8">
        <v>67.804999999999993</v>
      </c>
    </row>
    <row r="105" spans="1:15" x14ac:dyDescent="0.3">
      <c r="A105" s="5" t="s">
        <v>76</v>
      </c>
      <c r="B105" s="6">
        <v>2</v>
      </c>
      <c r="C105" s="6" t="s">
        <v>15</v>
      </c>
      <c r="D105" s="5">
        <v>44174</v>
      </c>
      <c r="E105" s="6">
        <v>14</v>
      </c>
      <c r="F105" s="7" t="str">
        <f t="shared" si="1"/>
        <v>TN_C0M_F2_BIM_III</v>
      </c>
      <c r="G105" s="8">
        <v>7.2299999999999995</v>
      </c>
      <c r="H105" s="8">
        <v>7.339999999999999</v>
      </c>
      <c r="I105" s="8">
        <v>7.0900000000000007</v>
      </c>
      <c r="J105" s="8"/>
      <c r="K105" s="8">
        <v>7.2399999999999993</v>
      </c>
      <c r="L105" s="8">
        <v>6.0199999999999987</v>
      </c>
      <c r="M105" s="8">
        <v>6.8100000000000005</v>
      </c>
      <c r="N105" s="8">
        <v>6.209090909090909</v>
      </c>
      <c r="O105" s="8">
        <v>65.878090909090901</v>
      </c>
    </row>
    <row r="106" spans="1:15" x14ac:dyDescent="0.3">
      <c r="A106" s="5" t="s">
        <v>76</v>
      </c>
      <c r="B106" s="6">
        <v>3</v>
      </c>
      <c r="C106" s="6" t="s">
        <v>15</v>
      </c>
      <c r="D106" s="5">
        <v>44183</v>
      </c>
      <c r="E106" s="6">
        <v>16</v>
      </c>
      <c r="F106" s="7" t="str">
        <f t="shared" si="1"/>
        <v>TN_C0M_F3_BIM_III</v>
      </c>
      <c r="G106" s="8">
        <v>7.3</v>
      </c>
      <c r="H106" s="9">
        <v>7.2272727272727275</v>
      </c>
      <c r="I106" s="9">
        <v>7.4090909090909092</v>
      </c>
      <c r="J106" s="9"/>
      <c r="K106" s="9">
        <v>7.4363636363636365</v>
      </c>
      <c r="L106" s="9">
        <v>6.6090909090909093</v>
      </c>
      <c r="M106" s="9">
        <v>7.4363636363636365</v>
      </c>
      <c r="N106" s="9">
        <v>6.16</v>
      </c>
      <c r="O106" s="9">
        <v>67.88727272727273</v>
      </c>
    </row>
    <row r="107" spans="1:15" x14ac:dyDescent="0.3">
      <c r="A107" s="5" t="s">
        <v>76</v>
      </c>
      <c r="B107" s="6">
        <v>1</v>
      </c>
      <c r="C107" s="6" t="s">
        <v>16</v>
      </c>
      <c r="D107" s="5">
        <v>44209</v>
      </c>
      <c r="E107" s="6">
        <v>17</v>
      </c>
      <c r="F107" s="7" t="str">
        <f t="shared" si="1"/>
        <v>TN_C0M_F1_BIM_IV</v>
      </c>
      <c r="G107" s="8">
        <v>7.0272727272727273</v>
      </c>
      <c r="H107" s="9">
        <v>6.6090909090909093</v>
      </c>
      <c r="I107" s="9">
        <v>6.9818181818181815</v>
      </c>
      <c r="J107" s="9"/>
      <c r="K107" s="9">
        <v>7.0727272727272723</v>
      </c>
      <c r="L107" s="9">
        <v>6.5090909090909088</v>
      </c>
      <c r="M107" s="9">
        <v>7.1000000000000005</v>
      </c>
      <c r="N107" s="9">
        <v>7.0636363636363635</v>
      </c>
      <c r="O107" s="9">
        <v>65.587272727272733</v>
      </c>
    </row>
    <row r="108" spans="1:15" x14ac:dyDescent="0.3">
      <c r="A108" s="5" t="s">
        <v>76</v>
      </c>
      <c r="B108" s="6">
        <v>2</v>
      </c>
      <c r="C108" s="6" t="s">
        <v>16</v>
      </c>
      <c r="D108" s="5">
        <v>44223</v>
      </c>
      <c r="E108" s="6">
        <v>19</v>
      </c>
      <c r="F108" s="7" t="str">
        <f t="shared" si="1"/>
        <v>TN_C0M_F2_BIM_IV</v>
      </c>
      <c r="G108" s="9">
        <v>7.2636363636363628</v>
      </c>
      <c r="H108" s="9">
        <v>7.0181818181818185</v>
      </c>
      <c r="I108" s="9">
        <v>7.3090909090909086</v>
      </c>
      <c r="J108" s="9"/>
      <c r="K108" s="9">
        <v>7.0181818181818167</v>
      </c>
      <c r="L108" s="9">
        <v>5.7545454545454549</v>
      </c>
      <c r="M108" s="9">
        <v>6.8545454545454536</v>
      </c>
      <c r="N108" s="9">
        <v>7.133333333333332</v>
      </c>
      <c r="O108" s="9">
        <v>66.223333333333329</v>
      </c>
    </row>
    <row r="109" spans="1:15" x14ac:dyDescent="0.3">
      <c r="A109" s="5" t="s">
        <v>76</v>
      </c>
      <c r="B109" s="6">
        <v>3</v>
      </c>
      <c r="C109" s="6" t="s">
        <v>16</v>
      </c>
      <c r="D109" s="5">
        <v>44237</v>
      </c>
      <c r="E109" s="6">
        <v>21</v>
      </c>
      <c r="F109" s="7" t="str">
        <f t="shared" si="1"/>
        <v>TN_C0M_F3_BIM_IV</v>
      </c>
      <c r="G109" s="9">
        <v>7.37</v>
      </c>
      <c r="H109" s="9">
        <v>7.31</v>
      </c>
      <c r="I109" s="9">
        <v>7.4399999999999995</v>
      </c>
      <c r="J109" s="9"/>
      <c r="K109" s="9">
        <v>7.0900000000000007</v>
      </c>
      <c r="L109" s="9">
        <v>7.2799999999999994</v>
      </c>
      <c r="M109" s="9">
        <v>8.01</v>
      </c>
      <c r="N109" s="9">
        <v>6.2222222222222223</v>
      </c>
      <c r="O109" s="9">
        <v>69.340222222222224</v>
      </c>
    </row>
    <row r="110" spans="1:15" x14ac:dyDescent="0.3">
      <c r="A110" s="5" t="s">
        <v>76</v>
      </c>
      <c r="B110" s="6">
        <v>1</v>
      </c>
      <c r="C110" s="6" t="s">
        <v>17</v>
      </c>
      <c r="D110" s="5">
        <v>44244</v>
      </c>
      <c r="E110" s="6">
        <v>22</v>
      </c>
      <c r="F110" s="7" t="str">
        <f t="shared" si="1"/>
        <v>TN_C0M_F1_BIM_V</v>
      </c>
      <c r="G110" s="9">
        <v>7.6444444444444439</v>
      </c>
      <c r="H110" s="9">
        <v>7.155555555555555</v>
      </c>
      <c r="I110" s="9">
        <v>7.5666666666666664</v>
      </c>
      <c r="J110" s="9"/>
      <c r="K110" s="9">
        <v>7.7999999999999989</v>
      </c>
      <c r="L110" s="9">
        <v>6.7555555555555555</v>
      </c>
      <c r="M110" s="9">
        <v>6.9555555555555548</v>
      </c>
      <c r="N110" s="9">
        <v>6.29</v>
      </c>
      <c r="O110" s="9">
        <v>68.626666666666651</v>
      </c>
    </row>
    <row r="111" spans="1:15" x14ac:dyDescent="0.3">
      <c r="A111" s="5" t="s">
        <v>76</v>
      </c>
      <c r="B111" s="6">
        <v>2</v>
      </c>
      <c r="C111" s="6" t="s">
        <v>17</v>
      </c>
      <c r="D111" s="5">
        <v>44251</v>
      </c>
      <c r="E111" s="6">
        <v>23</v>
      </c>
      <c r="F111" s="7" t="str">
        <f t="shared" si="1"/>
        <v>TN_C0M_F2_BIM_V</v>
      </c>
      <c r="G111" s="9">
        <v>7.46</v>
      </c>
      <c r="H111" s="9">
        <v>7.08</v>
      </c>
      <c r="I111" s="9">
        <v>7.4</v>
      </c>
      <c r="J111" s="9"/>
      <c r="K111" s="9">
        <v>6.48</v>
      </c>
      <c r="L111" s="9">
        <v>6.66</v>
      </c>
      <c r="M111" s="9">
        <v>7.59</v>
      </c>
      <c r="N111" s="9">
        <v>5.99</v>
      </c>
      <c r="O111" s="9">
        <v>67.003</v>
      </c>
    </row>
    <row r="112" spans="1:15" x14ac:dyDescent="0.3">
      <c r="A112" s="5" t="s">
        <v>76</v>
      </c>
      <c r="B112" s="6">
        <v>1</v>
      </c>
      <c r="C112" s="6" t="s">
        <v>19</v>
      </c>
      <c r="D112" s="5">
        <v>44279</v>
      </c>
      <c r="E112" s="6">
        <v>27</v>
      </c>
      <c r="F112" s="7" t="str">
        <f t="shared" si="1"/>
        <v>TN_C0M_F1_BIM_VI</v>
      </c>
      <c r="G112" s="9">
        <v>6.1444444444444404</v>
      </c>
      <c r="H112" s="9">
        <v>6.24444444444444</v>
      </c>
      <c r="I112" s="9">
        <v>5.93333333333333</v>
      </c>
      <c r="J112" s="9"/>
      <c r="K112" s="9">
        <v>7.6666666666666599</v>
      </c>
      <c r="L112" s="9">
        <v>7.98888888888888</v>
      </c>
      <c r="M112" s="9">
        <v>7.4222222222222198</v>
      </c>
      <c r="N112" s="9">
        <v>5.39</v>
      </c>
      <c r="O112" s="9">
        <v>62.466666666666633</v>
      </c>
    </row>
    <row r="113" spans="1:15" x14ac:dyDescent="0.3">
      <c r="A113" s="5" t="s">
        <v>76</v>
      </c>
      <c r="B113" s="6">
        <v>2</v>
      </c>
      <c r="C113" s="6" t="s">
        <v>19</v>
      </c>
      <c r="D113" s="5">
        <v>44286</v>
      </c>
      <c r="E113" s="6">
        <v>28</v>
      </c>
      <c r="F113" s="7" t="str">
        <f t="shared" si="1"/>
        <v>TN_C0M_F2_BIM_VI</v>
      </c>
      <c r="G113" s="9">
        <v>7.3800000000000008</v>
      </c>
      <c r="H113" s="9">
        <v>7.33</v>
      </c>
      <c r="I113" s="9">
        <v>7.31</v>
      </c>
      <c r="J113" s="9"/>
      <c r="K113" s="9">
        <v>6.87</v>
      </c>
      <c r="L113" s="9">
        <v>5.2</v>
      </c>
      <c r="M113" s="9">
        <v>7.5100000000000007</v>
      </c>
      <c r="N113" s="9">
        <v>5.76</v>
      </c>
      <c r="O113" s="9">
        <v>65.760000000000005</v>
      </c>
    </row>
    <row r="114" spans="1:15" x14ac:dyDescent="0.3">
      <c r="A114" s="5" t="s">
        <v>76</v>
      </c>
      <c r="B114" s="6">
        <v>1</v>
      </c>
      <c r="C114" s="6" t="s">
        <v>13</v>
      </c>
      <c r="D114" s="5">
        <v>44090</v>
      </c>
      <c r="E114" s="6">
        <v>3</v>
      </c>
      <c r="F114" s="7" t="str">
        <f t="shared" si="1"/>
        <v>TN_C0M_F1_BIM_I</v>
      </c>
      <c r="G114" s="8">
        <v>7.79</v>
      </c>
      <c r="H114" s="8">
        <v>7.09</v>
      </c>
      <c r="I114" s="8">
        <v>7.46</v>
      </c>
      <c r="J114" s="8"/>
      <c r="K114" s="8">
        <v>6.93</v>
      </c>
      <c r="L114" s="8">
        <v>7.22</v>
      </c>
      <c r="M114" s="8">
        <v>7.96</v>
      </c>
      <c r="N114" s="8">
        <v>6</v>
      </c>
      <c r="O114" s="8">
        <v>69.19</v>
      </c>
    </row>
    <row r="115" spans="1:15" x14ac:dyDescent="0.3">
      <c r="A115" s="5" t="s">
        <v>76</v>
      </c>
      <c r="B115" s="6">
        <v>1</v>
      </c>
      <c r="C115" s="6" t="s">
        <v>13</v>
      </c>
      <c r="D115" s="5">
        <v>44097</v>
      </c>
      <c r="E115" s="6">
        <v>4</v>
      </c>
      <c r="F115" s="7" t="str">
        <f t="shared" si="1"/>
        <v>TN_C0M_F1_BIM_I</v>
      </c>
      <c r="G115" s="8">
        <v>7.7230769230769232</v>
      </c>
      <c r="H115" s="8">
        <v>7.5153846153846171</v>
      </c>
      <c r="I115" s="8">
        <v>7.5230769230769239</v>
      </c>
      <c r="J115" s="8"/>
      <c r="K115" s="8">
        <v>6.8307692307692305</v>
      </c>
      <c r="L115" s="8">
        <v>7.3307692307692296</v>
      </c>
      <c r="M115" s="8">
        <v>7.976923076923077</v>
      </c>
      <c r="N115" s="8">
        <v>7.0454545454545441</v>
      </c>
      <c r="O115" s="8">
        <v>71.023146853146855</v>
      </c>
    </row>
    <row r="116" spans="1:15" x14ac:dyDescent="0.3">
      <c r="A116" s="5" t="s">
        <v>76</v>
      </c>
      <c r="B116" s="6">
        <v>1</v>
      </c>
      <c r="C116" s="6" t="s">
        <v>14</v>
      </c>
      <c r="D116" s="5">
        <v>44125</v>
      </c>
      <c r="E116" s="6">
        <v>8</v>
      </c>
      <c r="F116" s="7" t="str">
        <f t="shared" si="1"/>
        <v>TN_C0M_F1_BIM_II</v>
      </c>
      <c r="G116" s="8">
        <v>7.8538461538461535</v>
      </c>
      <c r="H116" s="8">
        <v>7.3153846153846152</v>
      </c>
      <c r="I116" s="8">
        <v>7.4076923076923089</v>
      </c>
      <c r="J116" s="8"/>
      <c r="K116" s="8">
        <v>7.4076923076923071</v>
      </c>
      <c r="L116" s="8">
        <v>6.4153846153846157</v>
      </c>
      <c r="M116" s="8">
        <v>7.4769230769230761</v>
      </c>
      <c r="N116" s="8">
        <v>6.8666666666666671</v>
      </c>
      <c r="O116" s="8">
        <v>69.522051282051279</v>
      </c>
    </row>
    <row r="117" spans="1:15" x14ac:dyDescent="0.3">
      <c r="A117" s="5" t="s">
        <v>76</v>
      </c>
      <c r="B117" s="6">
        <v>3</v>
      </c>
      <c r="C117" s="6" t="s">
        <v>14</v>
      </c>
      <c r="D117" s="5">
        <v>44132</v>
      </c>
      <c r="E117" s="6">
        <v>9</v>
      </c>
      <c r="F117" s="7" t="str">
        <f t="shared" si="1"/>
        <v>TN_C0M_F3_BIM_II</v>
      </c>
      <c r="G117" s="8">
        <v>7.6916666666666664</v>
      </c>
      <c r="H117" s="8">
        <v>7.1416666666666666</v>
      </c>
      <c r="I117" s="8">
        <v>7.3583333333333334</v>
      </c>
      <c r="J117" s="8"/>
      <c r="K117" s="8">
        <v>7.1750000000000007</v>
      </c>
      <c r="L117" s="8">
        <v>6.5833333333333348</v>
      </c>
      <c r="M117" s="8">
        <v>7.7583333333333329</v>
      </c>
      <c r="N117" s="8">
        <v>7.3999999999999995</v>
      </c>
      <c r="O117" s="8">
        <v>69.68416666666667</v>
      </c>
    </row>
    <row r="118" spans="1:15" x14ac:dyDescent="0.3">
      <c r="A118" s="5" t="s">
        <v>76</v>
      </c>
      <c r="B118" s="6">
        <v>3</v>
      </c>
      <c r="C118" s="6" t="s">
        <v>14</v>
      </c>
      <c r="D118" s="5">
        <v>44139</v>
      </c>
      <c r="E118" s="6">
        <v>10</v>
      </c>
      <c r="F118" s="7" t="str">
        <f t="shared" si="1"/>
        <v>TN_C0M_F3_BIM_II</v>
      </c>
      <c r="G118" s="8">
        <v>7.4545454545454541</v>
      </c>
      <c r="H118" s="8">
        <v>7.2363636363636354</v>
      </c>
      <c r="I118" s="8">
        <v>7.5363636363636379</v>
      </c>
      <c r="J118" s="8"/>
      <c r="K118" s="8">
        <v>7.2818181818181813</v>
      </c>
      <c r="L118" s="8">
        <v>7.6999999999999993</v>
      </c>
      <c r="M118" s="8">
        <v>7.6545454545454534</v>
      </c>
      <c r="N118" s="8">
        <v>7.4700000000000006</v>
      </c>
      <c r="O118" s="8">
        <v>70.912727272727267</v>
      </c>
    </row>
    <row r="119" spans="1:15" x14ac:dyDescent="0.3">
      <c r="A119" s="5" t="s">
        <v>76</v>
      </c>
      <c r="B119" s="6">
        <v>1</v>
      </c>
      <c r="C119" s="6" t="s">
        <v>15</v>
      </c>
      <c r="D119" s="5">
        <v>44154</v>
      </c>
      <c r="E119" s="6">
        <v>11</v>
      </c>
      <c r="F119" s="7" t="str">
        <f t="shared" si="1"/>
        <v>TN_C0M_F1_BIM_III</v>
      </c>
      <c r="G119" s="8">
        <v>7.3</v>
      </c>
      <c r="H119" s="8">
        <v>7.32</v>
      </c>
      <c r="I119" s="8">
        <v>7.33</v>
      </c>
      <c r="J119" s="8"/>
      <c r="K119" s="8">
        <v>7.12</v>
      </c>
      <c r="L119" s="8">
        <v>6.13</v>
      </c>
      <c r="M119" s="8">
        <v>7.2899999999999991</v>
      </c>
      <c r="N119" s="8">
        <v>5.833333333333333</v>
      </c>
      <c r="O119" s="8">
        <v>66.60733333333333</v>
      </c>
    </row>
    <row r="120" spans="1:15" x14ac:dyDescent="0.3">
      <c r="A120" s="5" t="s">
        <v>76</v>
      </c>
      <c r="B120" s="6">
        <v>2</v>
      </c>
      <c r="C120" s="6" t="s">
        <v>15</v>
      </c>
      <c r="D120" s="5">
        <v>44174</v>
      </c>
      <c r="E120" s="6">
        <v>14</v>
      </c>
      <c r="F120" s="7" t="str">
        <f t="shared" si="1"/>
        <v>TN_C0M_F2_BIM_III</v>
      </c>
      <c r="G120" s="8">
        <v>7.2099999999999991</v>
      </c>
      <c r="H120" s="8">
        <v>7.19</v>
      </c>
      <c r="I120" s="8">
        <v>7.0100000000000007</v>
      </c>
      <c r="J120" s="8"/>
      <c r="K120" s="8">
        <v>7.1</v>
      </c>
      <c r="L120" s="8">
        <v>7.25</v>
      </c>
      <c r="M120" s="8">
        <v>6.7200000000000006</v>
      </c>
      <c r="N120" s="8">
        <v>6.8818181818181818</v>
      </c>
      <c r="O120" s="8">
        <v>67.083818181818174</v>
      </c>
    </row>
    <row r="121" spans="1:15" x14ac:dyDescent="0.3">
      <c r="A121" s="5" t="s">
        <v>76</v>
      </c>
      <c r="B121" s="6">
        <v>3</v>
      </c>
      <c r="C121" s="6" t="s">
        <v>15</v>
      </c>
      <c r="D121" s="5">
        <v>44183</v>
      </c>
      <c r="E121" s="6">
        <v>16</v>
      </c>
      <c r="F121" s="7" t="str">
        <f t="shared" si="1"/>
        <v>TN_C0M_F3_BIM_III</v>
      </c>
      <c r="G121" s="8">
        <v>7.4181818181818189</v>
      </c>
      <c r="H121" s="9">
        <v>7.2363636363636372</v>
      </c>
      <c r="I121" s="9">
        <v>7.1909090909090914</v>
      </c>
      <c r="J121" s="9"/>
      <c r="K121" s="9">
        <v>7.4636363636363647</v>
      </c>
      <c r="L121" s="9">
        <v>6.5727272727272741</v>
      </c>
      <c r="M121" s="9">
        <v>7.3363636363636369</v>
      </c>
      <c r="N121" s="9">
        <v>7.45</v>
      </c>
      <c r="O121" s="9">
        <v>68.88454545454546</v>
      </c>
    </row>
    <row r="122" spans="1:15" x14ac:dyDescent="0.3">
      <c r="A122" s="5" t="s">
        <v>76</v>
      </c>
      <c r="B122" s="6">
        <v>2</v>
      </c>
      <c r="C122" s="6" t="s">
        <v>16</v>
      </c>
      <c r="D122" s="5">
        <v>44223</v>
      </c>
      <c r="E122" s="6">
        <v>19</v>
      </c>
      <c r="F122" s="7" t="str">
        <f t="shared" si="1"/>
        <v>TN_C0M_F2_BIM_IV</v>
      </c>
      <c r="G122" s="9">
        <v>7.6090909090909093</v>
      </c>
      <c r="H122" s="9">
        <v>6.8181818181818183</v>
      </c>
      <c r="I122" s="9">
        <v>7.3818181818181836</v>
      </c>
      <c r="J122" s="9"/>
      <c r="K122" s="9">
        <v>6.9545454545454541</v>
      </c>
      <c r="L122" s="9">
        <v>7.8000000000000007</v>
      </c>
      <c r="M122" s="9">
        <v>7.6545454545454534</v>
      </c>
      <c r="N122" s="9">
        <v>6.6333333333333337</v>
      </c>
      <c r="O122" s="9">
        <v>69.096060606060604</v>
      </c>
    </row>
    <row r="123" spans="1:15" x14ac:dyDescent="0.3">
      <c r="A123" s="5" t="s">
        <v>76</v>
      </c>
      <c r="B123" s="6">
        <v>2</v>
      </c>
      <c r="C123" s="6" t="s">
        <v>16</v>
      </c>
      <c r="D123" s="5">
        <v>44230</v>
      </c>
      <c r="E123" s="6">
        <v>20</v>
      </c>
      <c r="F123" s="7" t="str">
        <f t="shared" si="1"/>
        <v>TN_C0M_F2_BIM_IV</v>
      </c>
      <c r="G123" s="9">
        <v>7.344444444444445</v>
      </c>
      <c r="H123" s="9">
        <v>7.0555555555555562</v>
      </c>
      <c r="I123" s="9">
        <v>6.9777777777777779</v>
      </c>
      <c r="J123" s="9"/>
      <c r="K123" s="9">
        <v>7.2000000000000011</v>
      </c>
      <c r="L123" s="9">
        <v>6.1444444444444439</v>
      </c>
      <c r="M123" s="9">
        <v>7.3222222222222229</v>
      </c>
      <c r="N123" s="9">
        <v>6.919999999999999</v>
      </c>
      <c r="O123" s="9">
        <v>66.831111111111113</v>
      </c>
    </row>
    <row r="124" spans="1:15" x14ac:dyDescent="0.3">
      <c r="A124" s="5" t="s">
        <v>76</v>
      </c>
      <c r="B124" s="6">
        <v>3</v>
      </c>
      <c r="C124" s="6" t="s">
        <v>16</v>
      </c>
      <c r="D124" s="5">
        <v>44237</v>
      </c>
      <c r="E124" s="6">
        <v>21</v>
      </c>
      <c r="F124" s="7" t="str">
        <f t="shared" si="1"/>
        <v>TN_C0M_F3_BIM_IV</v>
      </c>
      <c r="G124" s="9">
        <v>7.2299999999999995</v>
      </c>
      <c r="H124" s="9">
        <v>7.18</v>
      </c>
      <c r="I124" s="9">
        <v>7.25</v>
      </c>
      <c r="J124" s="9"/>
      <c r="K124" s="9">
        <v>7.32</v>
      </c>
      <c r="L124" s="9">
        <v>7.83</v>
      </c>
      <c r="M124" s="9">
        <v>7.93</v>
      </c>
      <c r="N124" s="9">
        <v>6.8555555555555552</v>
      </c>
      <c r="O124" s="9">
        <v>69.85455555555555</v>
      </c>
    </row>
    <row r="125" spans="1:15" x14ac:dyDescent="0.3">
      <c r="A125" s="5" t="s">
        <v>76</v>
      </c>
      <c r="B125" s="6">
        <v>1</v>
      </c>
      <c r="C125" s="6" t="s">
        <v>17</v>
      </c>
      <c r="D125" s="5">
        <v>44258</v>
      </c>
      <c r="E125" s="6">
        <v>24</v>
      </c>
      <c r="F125" s="7" t="str">
        <f t="shared" si="1"/>
        <v>TN_C0M_F1_BIM_V</v>
      </c>
      <c r="G125" s="9">
        <v>7.66</v>
      </c>
      <c r="H125" s="9">
        <v>6.7</v>
      </c>
      <c r="I125" s="9">
        <v>7.24</v>
      </c>
      <c r="J125" s="9"/>
      <c r="K125" s="9">
        <v>7.19</v>
      </c>
      <c r="L125" s="9">
        <v>7.9</v>
      </c>
      <c r="M125" s="9">
        <v>7.83</v>
      </c>
      <c r="N125" s="9">
        <v>5.73</v>
      </c>
      <c r="O125" s="9">
        <v>68.388999999999996</v>
      </c>
    </row>
    <row r="126" spans="1:15" x14ac:dyDescent="0.3">
      <c r="A126" s="5" t="s">
        <v>76</v>
      </c>
      <c r="B126" s="6">
        <v>2</v>
      </c>
      <c r="C126" s="6" t="s">
        <v>17</v>
      </c>
      <c r="D126" s="5">
        <v>44265</v>
      </c>
      <c r="E126" s="6">
        <v>25</v>
      </c>
      <c r="F126" s="7" t="str">
        <f t="shared" si="1"/>
        <v>TN_C0M_F2_BIM_V</v>
      </c>
      <c r="G126" s="9">
        <v>7.72</v>
      </c>
      <c r="H126" s="9">
        <v>7.49</v>
      </c>
      <c r="I126" s="9">
        <v>7.95</v>
      </c>
      <c r="J126" s="9"/>
      <c r="K126" s="9">
        <v>7.22</v>
      </c>
      <c r="L126" s="9">
        <v>7.46</v>
      </c>
      <c r="M126" s="9">
        <v>7.87</v>
      </c>
      <c r="N126" s="9">
        <v>6.5</v>
      </c>
      <c r="O126" s="9">
        <v>71.531999999999996</v>
      </c>
    </row>
    <row r="127" spans="1:15" x14ac:dyDescent="0.3">
      <c r="A127" s="5" t="s">
        <v>76</v>
      </c>
      <c r="B127" s="6">
        <v>1</v>
      </c>
      <c r="C127" s="6" t="s">
        <v>19</v>
      </c>
      <c r="D127" s="5">
        <v>44286</v>
      </c>
      <c r="E127" s="6">
        <v>28</v>
      </c>
      <c r="F127" s="7" t="str">
        <f t="shared" si="1"/>
        <v>TN_C0M_F1_BIM_VI</v>
      </c>
      <c r="G127" s="9">
        <v>7.1800000000000015</v>
      </c>
      <c r="H127" s="9">
        <v>7.3699999999999992</v>
      </c>
      <c r="I127" s="9">
        <v>7.330000000000001</v>
      </c>
      <c r="J127" s="9"/>
      <c r="K127" s="9">
        <v>6.92</v>
      </c>
      <c r="L127" s="9">
        <v>7.62</v>
      </c>
      <c r="M127" s="9">
        <v>7.3899999999999988</v>
      </c>
      <c r="N127" s="9">
        <v>6.19</v>
      </c>
      <c r="O127" s="9">
        <v>68.27000000000001</v>
      </c>
    </row>
    <row r="128" spans="1:15" x14ac:dyDescent="0.3">
      <c r="A128" s="6" t="s">
        <v>76</v>
      </c>
      <c r="B128" s="6">
        <v>2</v>
      </c>
      <c r="C128" s="6" t="s">
        <v>19</v>
      </c>
      <c r="D128" s="5">
        <v>44293</v>
      </c>
      <c r="E128" s="6">
        <v>29</v>
      </c>
      <c r="F128" s="7" t="str">
        <f t="shared" si="1"/>
        <v>TN_C0M_F2_BIM_VI</v>
      </c>
      <c r="G128" s="9">
        <v>7.3666666666666663</v>
      </c>
      <c r="H128" s="9">
        <v>6.9333333333333336</v>
      </c>
      <c r="I128" s="9">
        <v>7.2777777777777777</v>
      </c>
      <c r="J128" s="9"/>
      <c r="K128" s="9">
        <v>6.7222222222222223</v>
      </c>
      <c r="L128" s="9">
        <v>6.6333333333333329</v>
      </c>
      <c r="M128" s="9">
        <v>7.2888888888888896</v>
      </c>
      <c r="N128" s="9">
        <v>6.655555555555555</v>
      </c>
      <c r="O128" s="9">
        <v>66.862222222222215</v>
      </c>
    </row>
    <row r="129" spans="1:15" x14ac:dyDescent="0.3">
      <c r="A129" s="5" t="s">
        <v>77</v>
      </c>
      <c r="B129" s="6">
        <v>1</v>
      </c>
      <c r="C129" s="6" t="s">
        <v>13</v>
      </c>
      <c r="D129" s="5">
        <v>44090</v>
      </c>
      <c r="E129" s="6">
        <v>3</v>
      </c>
      <c r="F129" s="7" t="str">
        <f t="shared" si="1"/>
        <v>TN_C0O_F1_BIM_I</v>
      </c>
      <c r="G129" s="8">
        <v>7.38</v>
      </c>
      <c r="H129" s="8">
        <v>7.12</v>
      </c>
      <c r="I129" s="8">
        <v>7.83</v>
      </c>
      <c r="J129" s="8"/>
      <c r="K129" s="8">
        <v>6.16</v>
      </c>
      <c r="L129" s="8">
        <v>5.34</v>
      </c>
      <c r="M129" s="8">
        <v>6.66</v>
      </c>
      <c r="N129" s="8">
        <v>5</v>
      </c>
      <c r="O129" s="8">
        <v>63.83</v>
      </c>
    </row>
    <row r="130" spans="1:15" x14ac:dyDescent="0.3">
      <c r="A130" s="5" t="s">
        <v>77</v>
      </c>
      <c r="B130" s="6">
        <v>1</v>
      </c>
      <c r="C130" s="6" t="s">
        <v>14</v>
      </c>
      <c r="D130" s="5">
        <v>44118</v>
      </c>
      <c r="E130" s="6">
        <v>7</v>
      </c>
      <c r="F130" s="7" t="str">
        <f t="shared" ref="F130:F163" si="2">CONCATENATE(A130,"_F",B130,"_BIM_",C130)</f>
        <v>TN_C0O_F1_BIM_II</v>
      </c>
      <c r="G130" s="8">
        <v>7.7250000000000005</v>
      </c>
      <c r="H130" s="8">
        <v>7.5166666666666657</v>
      </c>
      <c r="I130" s="8">
        <v>7.7333333333333334</v>
      </c>
      <c r="J130" s="8"/>
      <c r="K130" s="8">
        <v>6.7916666666666652</v>
      </c>
      <c r="L130" s="8">
        <v>6.7250000000000005</v>
      </c>
      <c r="M130" s="8">
        <v>6.9499999999999993</v>
      </c>
      <c r="N130" s="8">
        <v>7.5583333333333345</v>
      </c>
      <c r="O130" s="8">
        <v>69.919166666666669</v>
      </c>
    </row>
    <row r="131" spans="1:15" x14ac:dyDescent="0.3">
      <c r="A131" s="5" t="s">
        <v>77</v>
      </c>
      <c r="B131" s="6">
        <v>1</v>
      </c>
      <c r="C131" s="6" t="s">
        <v>15</v>
      </c>
      <c r="D131" s="5">
        <v>44181</v>
      </c>
      <c r="E131" s="6">
        <v>15</v>
      </c>
      <c r="F131" s="7" t="str">
        <f t="shared" si="2"/>
        <v>TN_C0O_F1_BIM_III</v>
      </c>
      <c r="G131" s="8">
        <v>7.5090909090909097</v>
      </c>
      <c r="H131" s="8">
        <v>7.4454545454545462</v>
      </c>
      <c r="I131" s="8">
        <v>7.5909090909090908</v>
      </c>
      <c r="J131" s="8"/>
      <c r="K131" s="8">
        <v>7.1000000000000005</v>
      </c>
      <c r="L131" s="8">
        <v>6.9090909090909092</v>
      </c>
      <c r="M131" s="8">
        <v>7.5909090909090908</v>
      </c>
      <c r="N131" s="8">
        <v>8.6181818181818173</v>
      </c>
      <c r="O131" s="8">
        <v>71.567272727272737</v>
      </c>
    </row>
    <row r="132" spans="1:15" x14ac:dyDescent="0.3">
      <c r="A132" s="5" t="s">
        <v>77</v>
      </c>
      <c r="B132" s="6">
        <v>1</v>
      </c>
      <c r="C132" s="6" t="s">
        <v>16</v>
      </c>
      <c r="D132" s="5">
        <v>44230</v>
      </c>
      <c r="E132" s="6">
        <v>20</v>
      </c>
      <c r="F132" s="7" t="str">
        <f t="shared" si="2"/>
        <v>TN_C0O_F1_BIM_IV</v>
      </c>
      <c r="G132" s="9">
        <v>7.2666666666666675</v>
      </c>
      <c r="H132" s="9">
        <v>6.5777777777777784</v>
      </c>
      <c r="I132" s="9">
        <v>7.0444444444444452</v>
      </c>
      <c r="J132" s="9"/>
      <c r="K132" s="9">
        <v>6.9333333333333336</v>
      </c>
      <c r="L132" s="9">
        <v>6.3777777777777773</v>
      </c>
      <c r="M132" s="9">
        <v>7.9555555555555548</v>
      </c>
      <c r="N132" s="9">
        <v>8.19</v>
      </c>
      <c r="O132" s="9">
        <v>68.012222222222235</v>
      </c>
    </row>
    <row r="133" spans="1:15" x14ac:dyDescent="0.3">
      <c r="A133" s="5" t="s">
        <v>77</v>
      </c>
      <c r="B133" s="6">
        <v>1</v>
      </c>
      <c r="C133" s="6" t="s">
        <v>17</v>
      </c>
      <c r="D133" s="5">
        <v>44244</v>
      </c>
      <c r="E133" s="6">
        <v>22</v>
      </c>
      <c r="F133" s="7" t="str">
        <f t="shared" si="2"/>
        <v>TN_C0O_F1_BIM_V</v>
      </c>
      <c r="G133" s="9">
        <v>7.4000000000000012</v>
      </c>
      <c r="H133" s="9">
        <v>6.9444444444444455</v>
      </c>
      <c r="I133" s="9">
        <v>6.9555555555555557</v>
      </c>
      <c r="J133" s="9"/>
      <c r="K133" s="9">
        <v>7.7777777777777777</v>
      </c>
      <c r="L133" s="9">
        <v>7.8888888888888893</v>
      </c>
      <c r="M133" s="9">
        <v>7.0777777777777775</v>
      </c>
      <c r="N133" s="9">
        <v>7.4700000000000006</v>
      </c>
      <c r="O133" s="9">
        <v>69.242222222222225</v>
      </c>
    </row>
    <row r="134" spans="1:15" x14ac:dyDescent="0.3">
      <c r="A134" s="6" t="s">
        <v>77</v>
      </c>
      <c r="B134" s="6">
        <v>1</v>
      </c>
      <c r="C134" s="6" t="s">
        <v>19</v>
      </c>
      <c r="D134" s="5">
        <v>44293</v>
      </c>
      <c r="E134" s="6">
        <v>29</v>
      </c>
      <c r="F134" s="7" t="str">
        <f t="shared" si="2"/>
        <v>TN_C0O_F1_BIM_VI</v>
      </c>
      <c r="G134" s="9">
        <v>7.1444444444444439</v>
      </c>
      <c r="H134" s="9">
        <v>7.0666666666666664</v>
      </c>
      <c r="I134" s="9">
        <v>7.0777777777777775</v>
      </c>
      <c r="J134" s="9"/>
      <c r="K134" s="9">
        <v>7.2333333333333325</v>
      </c>
      <c r="L134" s="9">
        <v>6.4222222222222207</v>
      </c>
      <c r="M134" s="9">
        <v>6.8999999999999995</v>
      </c>
      <c r="N134" s="9">
        <v>6.4222222222222225</v>
      </c>
      <c r="O134" s="9">
        <v>65.945555555555543</v>
      </c>
    </row>
    <row r="135" spans="1:15" x14ac:dyDescent="0.3">
      <c r="A135" s="5" t="s">
        <v>78</v>
      </c>
      <c r="B135" s="6">
        <v>1</v>
      </c>
      <c r="C135" s="6" t="s">
        <v>13</v>
      </c>
      <c r="D135" s="5">
        <v>44097</v>
      </c>
      <c r="E135" s="6">
        <v>4</v>
      </c>
      <c r="F135" s="7" t="str">
        <f t="shared" si="2"/>
        <v>TN_C0P_F1_BIM_I</v>
      </c>
      <c r="G135" s="8">
        <v>6.9230769230769242</v>
      </c>
      <c r="H135" s="8">
        <v>7.1538461538461542</v>
      </c>
      <c r="I135" s="8">
        <v>7.2846153846153845</v>
      </c>
      <c r="J135" s="8"/>
      <c r="K135" s="8">
        <v>6.7923076923076922</v>
      </c>
      <c r="L135" s="8">
        <v>8.069230769230769</v>
      </c>
      <c r="M135" s="8">
        <v>7.7538461538461547</v>
      </c>
      <c r="N135" s="8">
        <v>6.1818181818181817</v>
      </c>
      <c r="O135" s="8">
        <v>68.153356643356645</v>
      </c>
    </row>
    <row r="136" spans="1:15" x14ac:dyDescent="0.3">
      <c r="A136" s="5" t="s">
        <v>78</v>
      </c>
      <c r="B136" s="6">
        <v>1</v>
      </c>
      <c r="C136" s="6" t="s">
        <v>14</v>
      </c>
      <c r="D136" s="5">
        <v>44125</v>
      </c>
      <c r="E136" s="6">
        <v>8</v>
      </c>
      <c r="F136" s="7" t="str">
        <f t="shared" si="2"/>
        <v>TN_C0P_F1_BIM_II</v>
      </c>
      <c r="G136" s="8">
        <v>7.4</v>
      </c>
      <c r="H136" s="8">
        <v>7.2461538461538471</v>
      </c>
      <c r="I136" s="8">
        <v>7.6</v>
      </c>
      <c r="J136" s="8"/>
      <c r="K136" s="8">
        <v>7.2769230769230751</v>
      </c>
      <c r="L136" s="8">
        <v>7.7153846153846155</v>
      </c>
      <c r="M136" s="8">
        <v>7.0615384615384613</v>
      </c>
      <c r="N136" s="8">
        <v>7.7333333333333334</v>
      </c>
      <c r="O136" s="8">
        <v>70.448717948717942</v>
      </c>
    </row>
    <row r="137" spans="1:15" x14ac:dyDescent="0.3">
      <c r="A137" s="5" t="s">
        <v>78</v>
      </c>
      <c r="B137" s="6">
        <v>3</v>
      </c>
      <c r="C137" s="6" t="s">
        <v>14</v>
      </c>
      <c r="D137" s="5">
        <v>44132</v>
      </c>
      <c r="E137" s="6">
        <v>9</v>
      </c>
      <c r="F137" s="7" t="str">
        <f t="shared" si="2"/>
        <v>TN_C0P_F3_BIM_II</v>
      </c>
      <c r="G137" s="8">
        <v>6.833333333333333</v>
      </c>
      <c r="H137" s="8">
        <v>7.1416666666666657</v>
      </c>
      <c r="I137" s="8">
        <v>7.375</v>
      </c>
      <c r="J137" s="8"/>
      <c r="K137" s="8">
        <v>6.8583333333333334</v>
      </c>
      <c r="L137" s="8">
        <v>7.2666666666666657</v>
      </c>
      <c r="M137" s="8">
        <v>6.9583333333333348</v>
      </c>
      <c r="N137" s="8">
        <v>6.8454545454545466</v>
      </c>
      <c r="O137" s="8">
        <v>67.025454545454537</v>
      </c>
    </row>
    <row r="138" spans="1:15" x14ac:dyDescent="0.3">
      <c r="A138" s="5" t="s">
        <v>78</v>
      </c>
      <c r="B138" s="6">
        <v>3</v>
      </c>
      <c r="C138" s="6" t="s">
        <v>14</v>
      </c>
      <c r="D138" s="5">
        <v>44139</v>
      </c>
      <c r="E138" s="6">
        <v>10</v>
      </c>
      <c r="F138" s="7" t="str">
        <f t="shared" si="2"/>
        <v>TN_C0P_F3_BIM_II</v>
      </c>
      <c r="G138" s="8">
        <v>7.4363636363636365</v>
      </c>
      <c r="H138" s="8">
        <v>6.8363636363636369</v>
      </c>
      <c r="I138" s="8">
        <v>7.0545454545454538</v>
      </c>
      <c r="J138" s="8"/>
      <c r="K138" s="8">
        <v>7.0454545454545441</v>
      </c>
      <c r="L138" s="8">
        <v>7.8181818181818183</v>
      </c>
      <c r="M138" s="8">
        <v>6.7181818181818178</v>
      </c>
      <c r="N138" s="8">
        <v>6.67</v>
      </c>
      <c r="O138" s="8">
        <v>67.207272727272724</v>
      </c>
    </row>
    <row r="139" spans="1:15" x14ac:dyDescent="0.3">
      <c r="A139" s="5" t="s">
        <v>78</v>
      </c>
      <c r="B139" s="6">
        <v>1</v>
      </c>
      <c r="C139" s="6" t="s">
        <v>15</v>
      </c>
      <c r="D139" s="5">
        <v>44154</v>
      </c>
      <c r="E139" s="6">
        <v>11</v>
      </c>
      <c r="F139" s="7" t="str">
        <f t="shared" si="2"/>
        <v>TN_C0P_F1_BIM_III</v>
      </c>
      <c r="G139" s="8">
        <v>7.0900000000000007</v>
      </c>
      <c r="H139" s="8">
        <v>7.2200000000000006</v>
      </c>
      <c r="I139" s="8">
        <v>7.43</v>
      </c>
      <c r="J139" s="8"/>
      <c r="K139" s="8">
        <v>7.26</v>
      </c>
      <c r="L139" s="8">
        <v>7.6800000000000015</v>
      </c>
      <c r="M139" s="8">
        <v>6.8</v>
      </c>
      <c r="N139" s="8">
        <v>7.3999999999999995</v>
      </c>
      <c r="O139" s="8">
        <v>68.86</v>
      </c>
    </row>
    <row r="140" spans="1:15" x14ac:dyDescent="0.3">
      <c r="A140" s="5" t="s">
        <v>78</v>
      </c>
      <c r="B140" s="6">
        <v>1</v>
      </c>
      <c r="C140" s="6" t="s">
        <v>15</v>
      </c>
      <c r="D140" s="5">
        <v>44160</v>
      </c>
      <c r="E140" s="6">
        <v>12</v>
      </c>
      <c r="F140" s="7" t="str">
        <f t="shared" si="2"/>
        <v>TN_C0P_F1_BIM_III</v>
      </c>
      <c r="G140" s="8">
        <v>7.1916666666666664</v>
      </c>
      <c r="H140" s="8">
        <v>6.7833333333333341</v>
      </c>
      <c r="I140" s="8">
        <v>6.9416666666666673</v>
      </c>
      <c r="J140" s="8"/>
      <c r="K140" s="8">
        <v>7.091666666666665</v>
      </c>
      <c r="L140" s="8">
        <v>7.2666666666666666</v>
      </c>
      <c r="M140" s="8">
        <v>7.7416666666666671</v>
      </c>
      <c r="N140" s="8">
        <v>5.79</v>
      </c>
      <c r="O140" s="8">
        <v>66.44916666666667</v>
      </c>
    </row>
    <row r="141" spans="1:15" x14ac:dyDescent="0.3">
      <c r="A141" s="5" t="s">
        <v>78</v>
      </c>
      <c r="B141" s="6">
        <v>3</v>
      </c>
      <c r="C141" s="6" t="s">
        <v>15</v>
      </c>
      <c r="D141" s="5">
        <v>44181</v>
      </c>
      <c r="E141" s="6">
        <v>15</v>
      </c>
      <c r="F141" s="7" t="str">
        <f t="shared" si="2"/>
        <v>TN_C0P_F3_BIM_III</v>
      </c>
      <c r="G141" s="8">
        <v>7.6363636363636367</v>
      </c>
      <c r="H141" s="8">
        <v>7.5181818181818185</v>
      </c>
      <c r="I141" s="8">
        <v>7.4818181818181815</v>
      </c>
      <c r="J141" s="8"/>
      <c r="K141" s="8">
        <v>7.1090909090909093</v>
      </c>
      <c r="L141" s="8">
        <v>6.4727272727272727</v>
      </c>
      <c r="M141" s="8">
        <v>6.9090909090909092</v>
      </c>
      <c r="N141" s="8">
        <v>7.7272727272727275</v>
      </c>
      <c r="O141" s="8">
        <v>69.524545454545461</v>
      </c>
    </row>
    <row r="142" spans="1:15" x14ac:dyDescent="0.3">
      <c r="A142" s="5" t="s">
        <v>78</v>
      </c>
      <c r="B142" s="6">
        <v>1</v>
      </c>
      <c r="C142" s="6" t="s">
        <v>16</v>
      </c>
      <c r="D142" s="5">
        <v>44209</v>
      </c>
      <c r="E142" s="6">
        <v>17</v>
      </c>
      <c r="F142" s="7" t="str">
        <f t="shared" si="2"/>
        <v>TN_C0P_F1_BIM_IV</v>
      </c>
      <c r="G142" s="8">
        <v>7.4909090909090903</v>
      </c>
      <c r="H142" s="9">
        <v>7.2272727272727275</v>
      </c>
      <c r="I142" s="9">
        <v>7.1727272727272746</v>
      </c>
      <c r="J142" s="9"/>
      <c r="K142" s="9">
        <v>6.4727272727272727</v>
      </c>
      <c r="L142" s="9">
        <v>7.5</v>
      </c>
      <c r="M142" s="9">
        <v>7.5454545454545459</v>
      </c>
      <c r="N142" s="9">
        <v>6.8818181818181818</v>
      </c>
      <c r="O142" s="9">
        <v>68.600909090909099</v>
      </c>
    </row>
    <row r="143" spans="1:15" x14ac:dyDescent="0.3">
      <c r="A143" s="5" t="s">
        <v>78</v>
      </c>
      <c r="B143" s="6">
        <v>2</v>
      </c>
      <c r="C143" s="6" t="s">
        <v>16</v>
      </c>
      <c r="D143" s="5">
        <v>44223</v>
      </c>
      <c r="E143" s="6">
        <v>19</v>
      </c>
      <c r="F143" s="7" t="str">
        <f t="shared" si="2"/>
        <v>TN_C0P_F2_BIM_IV</v>
      </c>
      <c r="G143" s="9">
        <v>6.7818181818181822</v>
      </c>
      <c r="H143" s="9">
        <v>7.0545454545454538</v>
      </c>
      <c r="I143" s="9">
        <v>7.1454545454545464</v>
      </c>
      <c r="J143" s="9"/>
      <c r="K143" s="9">
        <v>6.3090909090909095</v>
      </c>
      <c r="L143" s="9">
        <v>6.3181818181818183</v>
      </c>
      <c r="M143" s="9">
        <v>5.1545454545454543</v>
      </c>
      <c r="N143" s="9">
        <v>7.8000000000000007</v>
      </c>
      <c r="O143" s="9">
        <v>63.50272727272727</v>
      </c>
    </row>
    <row r="144" spans="1:15" x14ac:dyDescent="0.3">
      <c r="A144" s="5" t="s">
        <v>78</v>
      </c>
      <c r="B144" s="6">
        <v>1</v>
      </c>
      <c r="C144" s="6" t="s">
        <v>17</v>
      </c>
      <c r="D144" s="5">
        <v>44258</v>
      </c>
      <c r="E144" s="6">
        <v>24</v>
      </c>
      <c r="F144" s="7" t="str">
        <f t="shared" si="2"/>
        <v>TN_C0P_F1_BIM_V</v>
      </c>
      <c r="G144" s="9">
        <v>7.2</v>
      </c>
      <c r="H144" s="9">
        <v>7.25</v>
      </c>
      <c r="I144" s="9">
        <v>7.51</v>
      </c>
      <c r="J144" s="9"/>
      <c r="K144" s="9">
        <v>5.98</v>
      </c>
      <c r="L144" s="9">
        <v>6.64</v>
      </c>
      <c r="M144" s="9">
        <v>6.75</v>
      </c>
      <c r="N144" s="9">
        <v>8.06</v>
      </c>
      <c r="O144" s="9">
        <v>67.512</v>
      </c>
    </row>
    <row r="145" spans="1:15" x14ac:dyDescent="0.3">
      <c r="A145" s="5" t="s">
        <v>78</v>
      </c>
      <c r="B145" s="6">
        <v>1</v>
      </c>
      <c r="C145" s="6" t="s">
        <v>19</v>
      </c>
      <c r="D145" s="5">
        <v>44272</v>
      </c>
      <c r="E145" s="6">
        <v>26</v>
      </c>
      <c r="F145" s="7" t="str">
        <f t="shared" si="2"/>
        <v>TN_C0P_F1_BIM_VI</v>
      </c>
      <c r="G145" s="9">
        <v>7.39</v>
      </c>
      <c r="H145" s="9">
        <v>7.25</v>
      </c>
      <c r="I145" s="9">
        <v>7.31</v>
      </c>
      <c r="J145" s="9"/>
      <c r="K145" s="9">
        <v>6.6111111111111098</v>
      </c>
      <c r="L145" s="9">
        <v>7.26</v>
      </c>
      <c r="M145" s="9">
        <v>5.97</v>
      </c>
      <c r="N145" s="9">
        <v>8.1222222222222236</v>
      </c>
      <c r="O145" s="9">
        <v>67.794333333333327</v>
      </c>
    </row>
    <row r="146" spans="1:15" x14ac:dyDescent="0.3">
      <c r="A146" s="5" t="s">
        <v>78</v>
      </c>
      <c r="B146" s="6">
        <v>2</v>
      </c>
      <c r="C146" s="6" t="s">
        <v>19</v>
      </c>
      <c r="D146" s="5">
        <v>44279</v>
      </c>
      <c r="E146" s="6">
        <v>27</v>
      </c>
      <c r="F146" s="7" t="str">
        <f t="shared" si="2"/>
        <v>TN_C0P_F2_BIM_VI</v>
      </c>
      <c r="G146" s="9">
        <v>7.0444444444444398</v>
      </c>
      <c r="H146" s="9">
        <v>7.2555555555555502</v>
      </c>
      <c r="I146" s="9">
        <v>7.3222222222222202</v>
      </c>
      <c r="J146" s="9"/>
      <c r="K146" s="9">
        <v>6.9666666666666597</v>
      </c>
      <c r="L146" s="9">
        <v>8.0444444444444407</v>
      </c>
      <c r="M146" s="9">
        <v>7.9666666666666597</v>
      </c>
      <c r="N146" s="9">
        <v>8.36</v>
      </c>
      <c r="O146" s="9">
        <v>71.211111111111066</v>
      </c>
    </row>
    <row r="147" spans="1:15" x14ac:dyDescent="0.3">
      <c r="A147" s="5" t="s">
        <v>79</v>
      </c>
      <c r="B147" s="6">
        <v>1</v>
      </c>
      <c r="C147" s="6" t="s">
        <v>13</v>
      </c>
      <c r="D147" s="5">
        <v>44076</v>
      </c>
      <c r="E147" s="6">
        <v>1</v>
      </c>
      <c r="F147" s="7" t="str">
        <f t="shared" si="2"/>
        <v>TN_C0Q_F1_BIM_I</v>
      </c>
      <c r="G147" s="8">
        <v>7.6909090909090905</v>
      </c>
      <c r="H147" s="8">
        <v>6.9818181818181815</v>
      </c>
      <c r="I147" s="8">
        <v>7.2909090909090901</v>
      </c>
      <c r="J147" s="8"/>
      <c r="K147" s="8">
        <v>7.1181818181818182</v>
      </c>
      <c r="L147" s="8">
        <v>7.4909090909090912</v>
      </c>
      <c r="M147" s="8">
        <v>7.4272727272727277</v>
      </c>
      <c r="N147" s="8">
        <v>6.666666666666667</v>
      </c>
      <c r="O147" s="8">
        <v>68.967575757575759</v>
      </c>
    </row>
    <row r="148" spans="1:15" x14ac:dyDescent="0.3">
      <c r="A148" s="5" t="s">
        <v>79</v>
      </c>
      <c r="B148" s="6">
        <v>2</v>
      </c>
      <c r="C148" s="6" t="s">
        <v>13</v>
      </c>
      <c r="D148" s="5">
        <v>44097</v>
      </c>
      <c r="E148" s="6">
        <v>4</v>
      </c>
      <c r="F148" s="7" t="str">
        <f t="shared" si="2"/>
        <v>TN_C0Q_F2_BIM_I</v>
      </c>
      <c r="G148" s="8">
        <v>7.338461538461539</v>
      </c>
      <c r="H148" s="8">
        <v>6.4076923076923071</v>
      </c>
      <c r="I148" s="8">
        <v>6.5769230769230784</v>
      </c>
      <c r="J148" s="8"/>
      <c r="K148" s="8">
        <v>7.3076923076923075</v>
      </c>
      <c r="L148" s="8">
        <v>7.7538461538461529</v>
      </c>
      <c r="M148" s="8">
        <v>7.2230769230769223</v>
      </c>
      <c r="N148" s="8">
        <v>6.2909090909090901</v>
      </c>
      <c r="O148" s="8">
        <v>65.932447552447556</v>
      </c>
    </row>
    <row r="149" spans="1:15" x14ac:dyDescent="0.3">
      <c r="A149" s="5" t="s">
        <v>79</v>
      </c>
      <c r="B149" s="6">
        <v>3</v>
      </c>
      <c r="C149" s="6" t="s">
        <v>13</v>
      </c>
      <c r="D149" s="5">
        <v>44104</v>
      </c>
      <c r="E149" s="6">
        <v>5</v>
      </c>
      <c r="F149" s="7" t="str">
        <f t="shared" si="2"/>
        <v>TN_C0Q_F3_BIM_I</v>
      </c>
      <c r="G149" s="8">
        <v>7.3363636363636351</v>
      </c>
      <c r="H149" s="8">
        <v>6.6000000000000005</v>
      </c>
      <c r="I149" s="8">
        <v>6.8272727272727272</v>
      </c>
      <c r="J149" s="8"/>
      <c r="K149" s="8">
        <v>7.1363636363636349</v>
      </c>
      <c r="L149" s="8">
        <v>7.5272727272727273</v>
      </c>
      <c r="M149" s="8">
        <v>7.4818181818181833</v>
      </c>
      <c r="N149" s="8">
        <v>6.418181818181818</v>
      </c>
      <c r="O149" s="8">
        <v>66.766363636363636</v>
      </c>
    </row>
    <row r="150" spans="1:15" x14ac:dyDescent="0.3">
      <c r="A150" s="5" t="s">
        <v>79</v>
      </c>
      <c r="B150" s="6">
        <v>1</v>
      </c>
      <c r="C150" s="6" t="s">
        <v>14</v>
      </c>
      <c r="D150" s="5">
        <v>44113</v>
      </c>
      <c r="E150" s="6">
        <v>6</v>
      </c>
      <c r="F150" s="7" t="str">
        <f t="shared" si="2"/>
        <v>TN_C0Q_F1_BIM_II</v>
      </c>
      <c r="G150" s="8">
        <v>7.5272727272727282</v>
      </c>
      <c r="H150" s="8">
        <v>7.3090909090909086</v>
      </c>
      <c r="I150" s="8">
        <v>7.581818181818182</v>
      </c>
      <c r="J150" s="8"/>
      <c r="K150" s="8">
        <v>7.4727272727272718</v>
      </c>
      <c r="L150" s="8">
        <v>6.9363636363636365</v>
      </c>
      <c r="M150" s="8">
        <v>7.0636363636363635</v>
      </c>
      <c r="N150" s="8">
        <v>6.5</v>
      </c>
      <c r="O150" s="8">
        <v>68.933636363636367</v>
      </c>
    </row>
    <row r="151" spans="1:15" x14ac:dyDescent="0.3">
      <c r="A151" s="10" t="s">
        <v>79</v>
      </c>
      <c r="B151" s="6">
        <v>2</v>
      </c>
      <c r="C151" s="6" t="s">
        <v>14</v>
      </c>
      <c r="D151" s="5">
        <v>44118</v>
      </c>
      <c r="E151" s="6">
        <v>7</v>
      </c>
      <c r="F151" s="7" t="str">
        <f t="shared" si="2"/>
        <v>TN_C0Q_F2_BIM_II</v>
      </c>
      <c r="G151" s="8">
        <v>7.6416666666666666</v>
      </c>
      <c r="H151" s="8">
        <v>7.2083333333333348</v>
      </c>
      <c r="I151" s="8">
        <v>7.5500000000000007</v>
      </c>
      <c r="J151" s="8"/>
      <c r="K151" s="8">
        <v>7.2416666666666671</v>
      </c>
      <c r="L151" s="8">
        <v>7.3666666666666671</v>
      </c>
      <c r="M151" s="8">
        <v>7.9749999999999988</v>
      </c>
      <c r="N151" s="8">
        <v>6.569230769230769</v>
      </c>
      <c r="O151" s="8">
        <v>70.345897435897442</v>
      </c>
    </row>
    <row r="152" spans="1:15" x14ac:dyDescent="0.3">
      <c r="A152" s="10" t="s">
        <v>79</v>
      </c>
      <c r="B152" s="6">
        <v>3</v>
      </c>
      <c r="C152" s="6" t="s">
        <v>14</v>
      </c>
      <c r="D152" s="5">
        <v>44125</v>
      </c>
      <c r="E152" s="6">
        <v>8</v>
      </c>
      <c r="F152" s="7" t="str">
        <f t="shared" si="2"/>
        <v>TN_C0Q_F3_BIM_II</v>
      </c>
      <c r="G152" s="8">
        <v>7.361538461538462</v>
      </c>
      <c r="H152" s="8">
        <v>7.1615384615384619</v>
      </c>
      <c r="I152" s="8">
        <v>7.1692307692307695</v>
      </c>
      <c r="J152" s="8"/>
      <c r="K152" s="8">
        <v>7.0076923076923086</v>
      </c>
      <c r="L152" s="8">
        <v>7.1769230769230781</v>
      </c>
      <c r="M152" s="8">
        <v>7.6692307692307704</v>
      </c>
      <c r="N152" s="8">
        <v>5.458333333333333</v>
      </c>
      <c r="O152" s="8">
        <v>67.206025641025647</v>
      </c>
    </row>
    <row r="153" spans="1:15" x14ac:dyDescent="0.3">
      <c r="A153" s="5" t="s">
        <v>79</v>
      </c>
      <c r="B153" s="6">
        <v>2</v>
      </c>
      <c r="C153" s="6" t="s">
        <v>15</v>
      </c>
      <c r="D153" s="5">
        <v>44160</v>
      </c>
      <c r="E153" s="6">
        <v>12</v>
      </c>
      <c r="F153" s="7" t="str">
        <f t="shared" si="2"/>
        <v>TN_C0Q_F2_BIM_III</v>
      </c>
      <c r="G153" s="8">
        <v>7.0666666666666664</v>
      </c>
      <c r="H153" s="8">
        <v>7.1749999999999998</v>
      </c>
      <c r="I153" s="8">
        <v>6.791666666666667</v>
      </c>
      <c r="J153" s="8"/>
      <c r="K153" s="8">
        <v>7.0249999999999995</v>
      </c>
      <c r="L153" s="8">
        <v>7.0083333333333337</v>
      </c>
      <c r="M153" s="8">
        <v>6.8916666666666657</v>
      </c>
      <c r="N153" s="8">
        <v>6.4599999999999991</v>
      </c>
      <c r="O153" s="8">
        <v>66.358106060606062</v>
      </c>
    </row>
    <row r="154" spans="1:15" x14ac:dyDescent="0.3">
      <c r="A154" s="5" t="s">
        <v>79</v>
      </c>
      <c r="B154" s="6">
        <v>3</v>
      </c>
      <c r="C154" s="6" t="s">
        <v>15</v>
      </c>
      <c r="D154" s="5">
        <v>44167</v>
      </c>
      <c r="E154" s="6">
        <v>13</v>
      </c>
      <c r="F154" s="7" t="str">
        <f t="shared" si="2"/>
        <v>TN_C0Q_F3_BIM_III</v>
      </c>
      <c r="G154" s="8">
        <v>7.4599999999999991</v>
      </c>
      <c r="H154" s="8">
        <v>6.4099999999999993</v>
      </c>
      <c r="I154" s="8">
        <v>7</v>
      </c>
      <c r="J154" s="8"/>
      <c r="K154" s="8">
        <v>7.410000000000001</v>
      </c>
      <c r="L154" s="8">
        <v>7.05</v>
      </c>
      <c r="M154" s="8">
        <v>7.74</v>
      </c>
      <c r="N154" s="8">
        <v>6.76</v>
      </c>
      <c r="O154" s="8">
        <v>67.402000000000001</v>
      </c>
    </row>
    <row r="155" spans="1:15" x14ac:dyDescent="0.3">
      <c r="A155" s="5" t="s">
        <v>79</v>
      </c>
      <c r="B155" s="6">
        <v>3</v>
      </c>
      <c r="C155" s="6" t="s">
        <v>15</v>
      </c>
      <c r="D155" s="5">
        <v>44174</v>
      </c>
      <c r="E155" s="6">
        <v>14</v>
      </c>
      <c r="F155" s="7" t="str">
        <f t="shared" si="2"/>
        <v>TN_C0Q_F3_BIM_III</v>
      </c>
      <c r="G155" s="8">
        <v>7.7800000000000011</v>
      </c>
      <c r="H155" s="8">
        <v>6.839999999999999</v>
      </c>
      <c r="I155" s="8">
        <v>7.08</v>
      </c>
      <c r="J155" s="8"/>
      <c r="K155" s="8">
        <v>7.5100000000000007</v>
      </c>
      <c r="L155" s="8">
        <v>8.0299999999999994</v>
      </c>
      <c r="M155" s="8">
        <v>8.08</v>
      </c>
      <c r="N155" s="8">
        <v>6.6272727272727279</v>
      </c>
      <c r="O155" s="8">
        <v>70.24527272727272</v>
      </c>
    </row>
    <row r="156" spans="1:15" x14ac:dyDescent="0.3">
      <c r="A156" s="5" t="s">
        <v>79</v>
      </c>
      <c r="B156" s="6">
        <v>1</v>
      </c>
      <c r="C156" s="6" t="s">
        <v>16</v>
      </c>
      <c r="D156" s="5">
        <v>44209</v>
      </c>
      <c r="E156" s="6">
        <v>17</v>
      </c>
      <c r="F156" s="7" t="str">
        <f t="shared" si="2"/>
        <v>TN_C0Q_F1_BIM_IV</v>
      </c>
      <c r="G156" s="8">
        <v>7.4818181818181815</v>
      </c>
      <c r="H156" s="9">
        <v>6.9727272727272727</v>
      </c>
      <c r="I156" s="9">
        <v>7.036363636363637</v>
      </c>
      <c r="J156" s="9"/>
      <c r="K156" s="9">
        <v>7.2636363636363646</v>
      </c>
      <c r="L156" s="9">
        <v>7.081818181818182</v>
      </c>
      <c r="M156" s="9">
        <v>7.8181818181818183</v>
      </c>
      <c r="N156" s="9">
        <v>5.9363636363636365</v>
      </c>
      <c r="O156" s="9">
        <v>67.677272727272737</v>
      </c>
    </row>
    <row r="157" spans="1:15" x14ac:dyDescent="0.3">
      <c r="A157" s="5" t="s">
        <v>79</v>
      </c>
      <c r="B157" s="6">
        <v>2</v>
      </c>
      <c r="C157" s="6" t="s">
        <v>16</v>
      </c>
      <c r="D157" s="5">
        <v>44216</v>
      </c>
      <c r="E157" s="6">
        <v>18</v>
      </c>
      <c r="F157" s="7" t="str">
        <f t="shared" si="2"/>
        <v>TN_C0Q_F2_BIM_IV</v>
      </c>
      <c r="G157" s="9">
        <v>7.7111111111111121</v>
      </c>
      <c r="H157" s="9">
        <v>6.8777777777777782</v>
      </c>
      <c r="I157" s="9">
        <v>7.1222222222222218</v>
      </c>
      <c r="J157" s="9"/>
      <c r="K157" s="9">
        <v>7.0111111111111102</v>
      </c>
      <c r="L157" s="9">
        <v>6.1333333333333337</v>
      </c>
      <c r="M157" s="9">
        <v>7.8999999999999995</v>
      </c>
      <c r="N157" s="9">
        <v>5.6090909090909085</v>
      </c>
      <c r="O157" s="9">
        <v>66.620202020202015</v>
      </c>
    </row>
    <row r="158" spans="1:15" x14ac:dyDescent="0.3">
      <c r="A158" s="5" t="s">
        <v>79</v>
      </c>
      <c r="B158" s="6">
        <v>1</v>
      </c>
      <c r="C158" s="6" t="s">
        <v>17</v>
      </c>
      <c r="D158" s="5">
        <v>44244</v>
      </c>
      <c r="E158" s="6">
        <v>22</v>
      </c>
      <c r="F158" s="7" t="str">
        <f t="shared" si="2"/>
        <v>TN_C0Q_F1_BIM_V</v>
      </c>
      <c r="G158" s="9">
        <v>7.5444444444444434</v>
      </c>
      <c r="H158" s="9">
        <v>6.2555555555555555</v>
      </c>
      <c r="I158" s="9">
        <v>6.8555555555555552</v>
      </c>
      <c r="J158" s="9"/>
      <c r="K158" s="9">
        <v>7.2333333333333343</v>
      </c>
      <c r="L158" s="9">
        <v>7.8777777777777782</v>
      </c>
      <c r="M158" s="9">
        <v>8.6222222222222218</v>
      </c>
      <c r="N158" s="9">
        <v>4.9400000000000004</v>
      </c>
      <c r="O158" s="9">
        <v>67</v>
      </c>
    </row>
    <row r="159" spans="1:15" x14ac:dyDescent="0.3">
      <c r="A159" s="5" t="s">
        <v>79</v>
      </c>
      <c r="B159" s="6">
        <v>1</v>
      </c>
      <c r="C159" s="6" t="s">
        <v>19</v>
      </c>
      <c r="D159" s="5">
        <v>44286</v>
      </c>
      <c r="E159" s="6">
        <v>28</v>
      </c>
      <c r="F159" s="7" t="str">
        <f t="shared" si="2"/>
        <v>TN_C0Q_F1_BIM_VI</v>
      </c>
      <c r="G159" s="9">
        <v>6.7399999999999993</v>
      </c>
      <c r="H159" s="9">
        <v>6.3599999999999994</v>
      </c>
      <c r="I159" s="9">
        <v>6.36</v>
      </c>
      <c r="J159" s="9"/>
      <c r="K159" s="9">
        <v>6.8400000000000007</v>
      </c>
      <c r="L159" s="9">
        <v>7.7100000000000009</v>
      </c>
      <c r="M159" s="9">
        <v>7.8</v>
      </c>
      <c r="N159" s="9">
        <v>6.07</v>
      </c>
      <c r="O159" s="9">
        <v>64.478000000000009</v>
      </c>
    </row>
    <row r="160" spans="1:15" x14ac:dyDescent="0.3">
      <c r="A160" s="5" t="s">
        <v>80</v>
      </c>
      <c r="B160" s="6">
        <v>1</v>
      </c>
      <c r="C160" s="6" t="s">
        <v>15</v>
      </c>
      <c r="D160" s="5">
        <v>44181</v>
      </c>
      <c r="E160" s="6">
        <v>15</v>
      </c>
      <c r="F160" s="7" t="str">
        <f t="shared" si="2"/>
        <v>TN_C0R_F1_BIM_III</v>
      </c>
      <c r="G160" s="8">
        <v>6.463636363636363</v>
      </c>
      <c r="H160" s="8">
        <v>6.7818181818181822</v>
      </c>
      <c r="I160" s="8">
        <v>6.1636363636363631</v>
      </c>
      <c r="J160" s="8"/>
      <c r="K160" s="8">
        <v>7.1636363636363631</v>
      </c>
      <c r="L160" s="8">
        <v>5.8181818181818183</v>
      </c>
      <c r="M160" s="8">
        <v>7.245454545454546</v>
      </c>
      <c r="N160" s="8">
        <v>6.2363636363636354</v>
      </c>
      <c r="O160" s="8">
        <v>62.310909090909085</v>
      </c>
    </row>
    <row r="161" spans="1:15" ht="12.6" customHeight="1" x14ac:dyDescent="0.3">
      <c r="A161" s="5" t="s">
        <v>80</v>
      </c>
      <c r="B161" s="6">
        <v>1</v>
      </c>
      <c r="C161" s="6" t="s">
        <v>16</v>
      </c>
      <c r="D161" s="5">
        <v>44237</v>
      </c>
      <c r="E161" s="6">
        <v>21</v>
      </c>
      <c r="F161" s="7" t="str">
        <f t="shared" si="2"/>
        <v>TN_C0R_F1_BIM_IV</v>
      </c>
      <c r="G161" s="9">
        <v>7.63</v>
      </c>
      <c r="H161" s="9">
        <v>6.7700000000000005</v>
      </c>
      <c r="I161" s="9">
        <v>7.089999999999999</v>
      </c>
      <c r="J161" s="9"/>
      <c r="K161" s="9">
        <v>6.5900000000000007</v>
      </c>
      <c r="L161" s="9">
        <v>6.1099999999999994</v>
      </c>
      <c r="M161" s="9">
        <v>7.85</v>
      </c>
      <c r="N161" s="9">
        <v>5.5888888888888886</v>
      </c>
      <c r="O161" s="9">
        <v>65.703888888888883</v>
      </c>
    </row>
    <row r="162" spans="1:15" x14ac:dyDescent="0.3">
      <c r="A162" s="5" t="s">
        <v>80</v>
      </c>
      <c r="B162" s="6">
        <v>1</v>
      </c>
      <c r="C162" s="6" t="s">
        <v>17</v>
      </c>
      <c r="D162" s="5">
        <v>44244</v>
      </c>
      <c r="E162" s="6">
        <v>22</v>
      </c>
      <c r="F162" s="7" t="str">
        <f t="shared" si="2"/>
        <v>TN_C0R_F1_BIM_V</v>
      </c>
      <c r="G162" s="9">
        <v>7.666666666666667</v>
      </c>
      <c r="H162" s="9">
        <v>6.666666666666667</v>
      </c>
      <c r="I162" s="9">
        <v>7.4777777777777787</v>
      </c>
      <c r="J162" s="9"/>
      <c r="K162" s="9">
        <v>7.0888888888888886</v>
      </c>
      <c r="L162" s="9">
        <v>7.8555555555555543</v>
      </c>
      <c r="M162" s="9">
        <v>7.7666666666666675</v>
      </c>
      <c r="N162" s="9">
        <v>5.6899999999999995</v>
      </c>
      <c r="O162" s="9">
        <v>68.476666666666659</v>
      </c>
    </row>
    <row r="163" spans="1:15" x14ac:dyDescent="0.3">
      <c r="A163" s="5" t="s">
        <v>80</v>
      </c>
      <c r="B163" s="6">
        <v>1</v>
      </c>
      <c r="C163" s="6" t="s">
        <v>19</v>
      </c>
      <c r="D163" s="5">
        <v>44272</v>
      </c>
      <c r="E163" s="6">
        <v>26</v>
      </c>
      <c r="F163" s="7" t="str">
        <f t="shared" si="2"/>
        <v>TN_C0R_F1_BIM_VI</v>
      </c>
      <c r="G163" s="9">
        <v>7.63</v>
      </c>
      <c r="H163" s="9">
        <v>6.63</v>
      </c>
      <c r="I163" s="9">
        <v>7.4</v>
      </c>
      <c r="J163" s="9"/>
      <c r="K163" s="9">
        <v>6.8</v>
      </c>
      <c r="L163" s="9">
        <v>6.88</v>
      </c>
      <c r="M163" s="9">
        <v>7.34</v>
      </c>
      <c r="N163" s="9">
        <v>6.4111111111111105</v>
      </c>
      <c r="O163" s="9">
        <v>67.118111111111105</v>
      </c>
    </row>
    <row r="164" spans="1:15" x14ac:dyDescent="0.3">
      <c r="A164" s="5"/>
      <c r="B164" s="6"/>
      <c r="C164" s="6"/>
      <c r="D164" s="5"/>
      <c r="F164" s="7"/>
      <c r="G164" s="9"/>
      <c r="H164" s="9"/>
      <c r="I164" s="9"/>
      <c r="J164" s="9"/>
      <c r="K164" s="9"/>
      <c r="L164" s="9"/>
      <c r="M164" s="9"/>
      <c r="N164" s="9"/>
      <c r="O164" s="9"/>
    </row>
    <row r="165" spans="1:15" x14ac:dyDescent="0.3">
      <c r="A165" s="5"/>
      <c r="B165" s="6"/>
      <c r="C165" s="6"/>
      <c r="D165" s="5"/>
      <c r="F165" s="7"/>
      <c r="G165" s="9"/>
      <c r="H165" s="9"/>
      <c r="I165" s="9"/>
      <c r="J165" s="9"/>
      <c r="K165" s="9"/>
      <c r="L165" s="9"/>
      <c r="M165" s="9"/>
      <c r="N165" s="9"/>
      <c r="O165" s="9"/>
    </row>
    <row r="166" spans="1:15" x14ac:dyDescent="0.3">
      <c r="A166" s="5"/>
      <c r="B166" s="6"/>
      <c r="C166" s="6"/>
      <c r="D166" s="5"/>
      <c r="F166" s="7"/>
      <c r="G166" s="9"/>
      <c r="H166" s="9"/>
      <c r="I166" s="9"/>
      <c r="J166" s="9"/>
      <c r="K166" s="9"/>
      <c r="L166" s="9"/>
      <c r="M166" s="9"/>
      <c r="N166" s="9"/>
      <c r="O166" s="9"/>
    </row>
    <row r="167" spans="1:15" x14ac:dyDescent="0.3">
      <c r="A167" s="5"/>
      <c r="B167" s="6"/>
      <c r="C167" s="6"/>
      <c r="D167" s="5"/>
      <c r="F167" s="7"/>
      <c r="G167" s="9"/>
      <c r="H167" s="9"/>
      <c r="I167" s="9"/>
      <c r="J167" s="9"/>
      <c r="K167" s="9"/>
      <c r="L167" s="9"/>
      <c r="M167" s="9"/>
      <c r="N167" s="9"/>
      <c r="O167" s="9"/>
    </row>
    <row r="168" spans="1:15" x14ac:dyDescent="0.3">
      <c r="A168" s="5"/>
      <c r="B168" s="6"/>
      <c r="C168" s="6"/>
      <c r="D168" s="5"/>
      <c r="F168" s="7"/>
      <c r="G168" s="9"/>
      <c r="H168" s="9"/>
      <c r="I168" s="9"/>
      <c r="J168" s="9"/>
      <c r="K168" s="9"/>
      <c r="L168" s="9"/>
      <c r="M168" s="9"/>
      <c r="N168" s="9"/>
      <c r="O168" s="9"/>
    </row>
    <row r="169" spans="1:15" x14ac:dyDescent="0.3">
      <c r="A169" s="5"/>
      <c r="B169" s="6"/>
      <c r="C169" s="6"/>
      <c r="D169" s="5"/>
      <c r="F169" s="7"/>
      <c r="G169" s="9"/>
      <c r="H169" s="9"/>
      <c r="I169" s="9"/>
      <c r="J169" s="9"/>
      <c r="K169" s="9"/>
      <c r="L169" s="9"/>
      <c r="M169" s="9"/>
      <c r="N169" s="9"/>
      <c r="O169" s="9"/>
    </row>
    <row r="170" spans="1:15" x14ac:dyDescent="0.3">
      <c r="A170" s="5"/>
      <c r="B170" s="6"/>
      <c r="C170" s="6"/>
      <c r="D170" s="5"/>
      <c r="F170" s="7"/>
      <c r="G170" s="9"/>
      <c r="H170" s="9"/>
      <c r="I170" s="9"/>
      <c r="J170" s="9"/>
      <c r="K170" s="9"/>
      <c r="L170" s="9"/>
      <c r="M170" s="9"/>
      <c r="N170" s="9"/>
      <c r="O170" s="9"/>
    </row>
    <row r="171" spans="1:15" x14ac:dyDescent="0.3">
      <c r="A171" s="5"/>
      <c r="B171" s="6"/>
      <c r="C171" s="6"/>
      <c r="D171" s="5"/>
      <c r="F171" s="7"/>
      <c r="G171" s="9"/>
      <c r="H171" s="9"/>
      <c r="I171" s="9"/>
      <c r="J171" s="9"/>
      <c r="K171" s="9"/>
      <c r="L171" s="9"/>
      <c r="M171" s="9"/>
      <c r="N171" s="9"/>
      <c r="O171" s="9"/>
    </row>
    <row r="172" spans="1:15" x14ac:dyDescent="0.3">
      <c r="A172" s="5"/>
      <c r="B172" s="6"/>
      <c r="C172" s="6"/>
      <c r="D172" s="5"/>
      <c r="F172" s="7"/>
      <c r="G172" s="9"/>
      <c r="H172" s="9"/>
      <c r="I172" s="9"/>
      <c r="J172" s="9"/>
      <c r="K172" s="9"/>
      <c r="L172" s="9"/>
      <c r="M172" s="9"/>
      <c r="N172" s="9"/>
      <c r="O172" s="9"/>
    </row>
    <row r="173" spans="1:15" x14ac:dyDescent="0.3">
      <c r="A173" s="5"/>
      <c r="B173" s="6"/>
      <c r="C173" s="6"/>
      <c r="D173" s="5"/>
      <c r="F173" s="7"/>
      <c r="G173" s="9"/>
      <c r="H173" s="9"/>
      <c r="I173" s="9"/>
      <c r="J173" s="9"/>
      <c r="K173" s="9"/>
      <c r="L173" s="9"/>
      <c r="M173" s="9"/>
      <c r="N173" s="9"/>
      <c r="O173" s="9"/>
    </row>
    <row r="174" spans="1:15" x14ac:dyDescent="0.3">
      <c r="A174" s="5"/>
      <c r="B174" s="6"/>
      <c r="C174" s="6"/>
      <c r="D174" s="5"/>
      <c r="F174" s="7"/>
      <c r="G174" s="9"/>
      <c r="H174" s="9"/>
      <c r="I174" s="9"/>
      <c r="J174" s="9"/>
      <c r="K174" s="9"/>
      <c r="L174" s="9"/>
      <c r="M174" s="9"/>
      <c r="N174" s="9"/>
      <c r="O174" s="9"/>
    </row>
    <row r="175" spans="1:15" x14ac:dyDescent="0.3">
      <c r="A175" s="5"/>
      <c r="B175" s="6"/>
      <c r="C175" s="6"/>
      <c r="D175" s="5"/>
      <c r="F175" s="7"/>
      <c r="G175" s="9"/>
      <c r="H175" s="9"/>
      <c r="I175" s="9"/>
      <c r="J175" s="9"/>
      <c r="K175" s="9"/>
      <c r="L175" s="9"/>
      <c r="M175" s="9"/>
      <c r="N175" s="9"/>
      <c r="O175" s="9"/>
    </row>
    <row r="176" spans="1:15" x14ac:dyDescent="0.3">
      <c r="A176" s="5"/>
      <c r="B176" s="6"/>
      <c r="C176" s="6"/>
      <c r="D176" s="5"/>
      <c r="F176" s="7"/>
      <c r="G176" s="9"/>
      <c r="H176" s="9"/>
      <c r="I176" s="9"/>
      <c r="J176" s="9"/>
      <c r="K176" s="9"/>
      <c r="L176" s="9"/>
      <c r="M176" s="9"/>
      <c r="N176" s="9"/>
      <c r="O176" s="9"/>
    </row>
    <row r="177" spans="1:15" x14ac:dyDescent="0.3">
      <c r="A177" s="5"/>
      <c r="B177" s="6"/>
      <c r="C177" s="6"/>
      <c r="D177" s="5"/>
      <c r="F177" s="7"/>
      <c r="G177" s="9"/>
      <c r="H177" s="9"/>
      <c r="I177" s="9"/>
      <c r="J177" s="9"/>
      <c r="K177" s="9"/>
      <c r="L177" s="9"/>
      <c r="M177" s="9"/>
      <c r="N177" s="9"/>
      <c r="O177" s="9"/>
    </row>
    <row r="178" spans="1:15" x14ac:dyDescent="0.3">
      <c r="A178" s="5"/>
      <c r="B178" s="6"/>
      <c r="C178" s="6"/>
      <c r="D178" s="5"/>
      <c r="F178" s="7"/>
      <c r="G178" s="9"/>
      <c r="H178" s="9"/>
      <c r="I178" s="9"/>
      <c r="J178" s="9"/>
      <c r="K178" s="9"/>
      <c r="L178" s="9"/>
      <c r="M178" s="9"/>
      <c r="N178" s="9"/>
      <c r="O178" s="9"/>
    </row>
    <row r="179" spans="1:15" x14ac:dyDescent="0.3">
      <c r="A179" s="5"/>
      <c r="B179" s="6"/>
      <c r="C179" s="6"/>
      <c r="D179" s="5"/>
      <c r="F179" s="7"/>
      <c r="G179" s="9"/>
      <c r="H179" s="9"/>
      <c r="I179" s="9"/>
      <c r="J179" s="9"/>
      <c r="K179" s="9"/>
      <c r="L179" s="9"/>
      <c r="M179" s="9"/>
      <c r="N179" s="9"/>
      <c r="O179" s="9"/>
    </row>
    <row r="180" spans="1:15" x14ac:dyDescent="0.3">
      <c r="A180" s="5"/>
      <c r="B180" s="6"/>
      <c r="C180" s="6"/>
      <c r="D180" s="5"/>
      <c r="F180" s="7"/>
      <c r="G180" s="9"/>
      <c r="H180" s="9"/>
      <c r="I180" s="9"/>
      <c r="J180" s="9"/>
      <c r="K180" s="9"/>
      <c r="L180" s="9"/>
      <c r="M180" s="9"/>
      <c r="N180" s="9"/>
      <c r="O180" s="9"/>
    </row>
    <row r="181" spans="1:15" x14ac:dyDescent="0.3">
      <c r="A181" s="5"/>
      <c r="B181" s="6"/>
      <c r="C181" s="6"/>
      <c r="D181" s="5"/>
      <c r="F181" s="7"/>
      <c r="G181" s="9"/>
      <c r="H181" s="9"/>
      <c r="I181" s="9"/>
      <c r="J181" s="9"/>
      <c r="K181" s="9"/>
      <c r="L181" s="9"/>
      <c r="M181" s="9"/>
      <c r="N181" s="9"/>
      <c r="O181" s="9"/>
    </row>
    <row r="182" spans="1:15" x14ac:dyDescent="0.3">
      <c r="A182" s="5"/>
      <c r="B182" s="6"/>
      <c r="C182" s="6"/>
      <c r="D182" s="5"/>
      <c r="F182" s="7"/>
      <c r="G182" s="9"/>
      <c r="H182" s="9"/>
      <c r="I182" s="9"/>
      <c r="J182" s="9"/>
      <c r="K182" s="9"/>
      <c r="L182" s="9"/>
      <c r="M182" s="9"/>
      <c r="N182" s="9"/>
      <c r="O182" s="9"/>
    </row>
    <row r="183" spans="1:15" x14ac:dyDescent="0.3">
      <c r="A183" s="5"/>
      <c r="B183" s="6"/>
      <c r="C183" s="6"/>
      <c r="D183" s="5"/>
      <c r="F183" s="7"/>
      <c r="G183" s="9"/>
      <c r="H183" s="9"/>
      <c r="I183" s="9"/>
      <c r="J183" s="9"/>
      <c r="K183" s="9"/>
      <c r="L183" s="9"/>
      <c r="M183" s="9"/>
      <c r="N183" s="9"/>
      <c r="O183" s="9"/>
    </row>
    <row r="184" spans="1:15" x14ac:dyDescent="0.3">
      <c r="A184" s="5"/>
      <c r="B184" s="6"/>
      <c r="C184" s="6"/>
      <c r="D184" s="5"/>
      <c r="F184" s="7"/>
      <c r="G184" s="9"/>
      <c r="H184" s="9"/>
      <c r="I184" s="9"/>
      <c r="J184" s="9"/>
      <c r="K184" s="9"/>
      <c r="L184" s="9"/>
      <c r="M184" s="9"/>
      <c r="N184" s="9"/>
      <c r="O184" s="9"/>
    </row>
    <row r="185" spans="1:15" x14ac:dyDescent="0.3">
      <c r="A185" s="5"/>
      <c r="B185" s="6"/>
      <c r="C185" s="6"/>
      <c r="D185" s="5"/>
      <c r="F185" s="7"/>
      <c r="G185" s="9"/>
      <c r="H185" s="9"/>
      <c r="I185" s="9"/>
      <c r="J185" s="9"/>
      <c r="K185" s="9"/>
      <c r="L185" s="9"/>
      <c r="M185" s="9"/>
      <c r="N185" s="9"/>
      <c r="O185" s="9"/>
    </row>
    <row r="186" spans="1:15" x14ac:dyDescent="0.3">
      <c r="A186" s="5"/>
      <c r="B186" s="6"/>
      <c r="C186" s="6"/>
      <c r="D186" s="5"/>
      <c r="F186" s="7"/>
      <c r="G186" s="9"/>
      <c r="H186" s="9"/>
      <c r="I186" s="9"/>
      <c r="J186" s="9"/>
      <c r="K186" s="9"/>
      <c r="L186" s="9"/>
      <c r="M186" s="9"/>
      <c r="N186" s="9"/>
      <c r="O186" s="9"/>
    </row>
    <row r="187" spans="1:15" x14ac:dyDescent="0.3">
      <c r="A187" s="5"/>
      <c r="B187" s="6"/>
      <c r="C187" s="6"/>
      <c r="D187" s="5"/>
      <c r="F187" s="7"/>
      <c r="G187" s="9"/>
      <c r="H187" s="9"/>
      <c r="I187" s="9"/>
      <c r="J187" s="9"/>
      <c r="K187" s="9"/>
      <c r="L187" s="9"/>
      <c r="M187" s="9"/>
      <c r="N187" s="9"/>
      <c r="O187" s="9"/>
    </row>
    <row r="188" spans="1:15" x14ac:dyDescent="0.3">
      <c r="A188" s="5"/>
      <c r="B188" s="6"/>
      <c r="C188" s="6"/>
      <c r="D188" s="5"/>
      <c r="F188" s="7"/>
      <c r="G188" s="9"/>
      <c r="H188" s="9"/>
      <c r="I188" s="9"/>
      <c r="J188" s="9"/>
      <c r="K188" s="9"/>
      <c r="L188" s="9"/>
      <c r="M188" s="9"/>
      <c r="N188" s="9"/>
      <c r="O188" s="9"/>
    </row>
    <row r="189" spans="1:15" x14ac:dyDescent="0.3">
      <c r="A189" s="5"/>
      <c r="B189" s="6"/>
      <c r="C189" s="6"/>
      <c r="D189" s="5"/>
      <c r="F189" s="7"/>
      <c r="G189" s="9"/>
      <c r="H189" s="9"/>
      <c r="I189" s="9"/>
      <c r="J189" s="9"/>
      <c r="K189" s="9"/>
      <c r="L189" s="9"/>
      <c r="M189" s="9"/>
      <c r="N189" s="9"/>
      <c r="O189" s="9"/>
    </row>
    <row r="190" spans="1:15" x14ac:dyDescent="0.3">
      <c r="A190" s="5"/>
      <c r="B190" s="6"/>
      <c r="C190" s="6"/>
      <c r="D190" s="5"/>
      <c r="F190" s="7"/>
      <c r="G190" s="9"/>
      <c r="H190" s="9"/>
      <c r="I190" s="9"/>
      <c r="J190" s="9"/>
      <c r="K190" s="9"/>
      <c r="L190" s="9"/>
      <c r="M190" s="9"/>
      <c r="N190" s="9"/>
      <c r="O190" s="9"/>
    </row>
    <row r="191" spans="1:15" x14ac:dyDescent="0.3">
      <c r="A191" s="5"/>
      <c r="B191" s="6"/>
      <c r="C191" s="6"/>
      <c r="D191" s="5"/>
      <c r="F191" s="7"/>
      <c r="G191" s="9"/>
      <c r="H191" s="9"/>
      <c r="I191" s="9"/>
      <c r="J191" s="9"/>
      <c r="K191" s="9"/>
      <c r="L191" s="9"/>
      <c r="M191" s="9"/>
      <c r="N191" s="9"/>
      <c r="O191" s="9"/>
    </row>
    <row r="192" spans="1:15" x14ac:dyDescent="0.3">
      <c r="A192" s="5"/>
      <c r="B192" s="6"/>
      <c r="C192" s="6"/>
      <c r="D192" s="5"/>
      <c r="F192" s="7"/>
      <c r="G192" s="9"/>
      <c r="H192" s="9"/>
      <c r="I192" s="9"/>
      <c r="J192" s="9"/>
      <c r="K192" s="9"/>
      <c r="L192" s="9"/>
      <c r="M192" s="9"/>
      <c r="N192" s="9"/>
      <c r="O192" s="9"/>
    </row>
    <row r="193" spans="1:15" x14ac:dyDescent="0.3">
      <c r="A193" s="5"/>
      <c r="B193" s="6"/>
      <c r="C193" s="6"/>
      <c r="D193" s="5"/>
      <c r="F193" s="7"/>
      <c r="G193" s="9"/>
      <c r="H193" s="9"/>
      <c r="I193" s="9"/>
      <c r="J193" s="9"/>
      <c r="K193" s="9"/>
      <c r="L193" s="9"/>
      <c r="M193" s="9"/>
      <c r="N193" s="9"/>
      <c r="O193" s="9"/>
    </row>
    <row r="194" spans="1:15" x14ac:dyDescent="0.3">
      <c r="A194" s="5"/>
      <c r="B194" s="6"/>
      <c r="C194" s="6"/>
      <c r="D194" s="5"/>
      <c r="F194" s="7"/>
      <c r="G194" s="9"/>
      <c r="H194" s="9"/>
      <c r="I194" s="9"/>
      <c r="J194" s="9"/>
      <c r="K194" s="9"/>
      <c r="L194" s="9"/>
      <c r="M194" s="9"/>
      <c r="N194" s="9"/>
      <c r="O194" s="9"/>
    </row>
    <row r="195" spans="1:15" x14ac:dyDescent="0.3">
      <c r="A195" s="5"/>
      <c r="B195" s="6"/>
      <c r="C195" s="6"/>
      <c r="D195" s="5"/>
      <c r="F195" s="7"/>
      <c r="G195" s="9"/>
      <c r="H195" s="9"/>
      <c r="I195" s="9"/>
      <c r="J195" s="9"/>
      <c r="K195" s="9"/>
      <c r="L195" s="9"/>
      <c r="M195" s="9"/>
      <c r="N195" s="9"/>
      <c r="O195" s="9"/>
    </row>
    <row r="196" spans="1:15" x14ac:dyDescent="0.3">
      <c r="A196" s="5"/>
      <c r="B196" s="6"/>
      <c r="C196" s="6"/>
      <c r="D196" s="5"/>
      <c r="F196" s="7"/>
      <c r="G196" s="9"/>
      <c r="H196" s="9"/>
      <c r="I196" s="9"/>
      <c r="J196" s="9"/>
      <c r="K196" s="9"/>
      <c r="L196" s="9"/>
      <c r="M196" s="9"/>
      <c r="N196" s="9"/>
      <c r="O196" s="9"/>
    </row>
    <row r="197" spans="1:15" x14ac:dyDescent="0.3">
      <c r="A197" s="5"/>
      <c r="B197" s="6"/>
      <c r="C197" s="6"/>
      <c r="D197" s="5"/>
      <c r="F197" s="7"/>
      <c r="G197" s="9"/>
      <c r="H197" s="9"/>
      <c r="I197" s="9"/>
      <c r="J197" s="9"/>
      <c r="K197" s="9"/>
      <c r="L197" s="9"/>
      <c r="M197" s="9"/>
      <c r="N197" s="9"/>
      <c r="O197" s="9"/>
    </row>
    <row r="198" spans="1:15" x14ac:dyDescent="0.3">
      <c r="A198" s="5"/>
      <c r="B198" s="6"/>
      <c r="C198" s="6"/>
      <c r="D198" s="5"/>
      <c r="F198" s="7"/>
      <c r="G198" s="9"/>
      <c r="H198" s="9"/>
      <c r="I198" s="9"/>
      <c r="J198" s="9"/>
      <c r="K198" s="9"/>
      <c r="L198" s="9"/>
      <c r="M198" s="9"/>
      <c r="N198" s="9"/>
      <c r="O198" s="9"/>
    </row>
    <row r="199" spans="1:15" x14ac:dyDescent="0.3">
      <c r="A199" s="5"/>
      <c r="B199" s="6"/>
      <c r="C199" s="6"/>
      <c r="D199" s="5"/>
      <c r="F199" s="7"/>
      <c r="G199" s="9"/>
      <c r="H199" s="9"/>
      <c r="I199" s="9"/>
      <c r="J199" s="9"/>
      <c r="K199" s="9"/>
      <c r="L199" s="9"/>
      <c r="M199" s="9"/>
      <c r="N199" s="9"/>
      <c r="O199" s="9"/>
    </row>
    <row r="200" spans="1:15" x14ac:dyDescent="0.3">
      <c r="A200" s="5"/>
      <c r="B200" s="6"/>
      <c r="C200" s="6"/>
      <c r="D200" s="5"/>
      <c r="F200" s="7"/>
      <c r="G200" s="9"/>
      <c r="H200" s="9"/>
      <c r="I200" s="9"/>
      <c r="J200" s="9"/>
      <c r="K200" s="9"/>
      <c r="L200" s="9"/>
      <c r="M200" s="9"/>
      <c r="N200" s="9"/>
      <c r="O200" s="9"/>
    </row>
    <row r="201" spans="1:15" x14ac:dyDescent="0.3">
      <c r="A201" s="5"/>
      <c r="B201" s="6"/>
      <c r="C201" s="6"/>
      <c r="D201" s="5"/>
      <c r="F201" s="7"/>
      <c r="G201" s="9"/>
      <c r="H201" s="9"/>
      <c r="I201" s="9"/>
      <c r="J201" s="9"/>
      <c r="K201" s="9"/>
      <c r="L201" s="9"/>
      <c r="M201" s="9"/>
      <c r="N201" s="9"/>
      <c r="O201" s="9"/>
    </row>
    <row r="202" spans="1:15" x14ac:dyDescent="0.3">
      <c r="A202" s="5"/>
      <c r="B202" s="6"/>
      <c r="C202" s="6"/>
      <c r="D202" s="5"/>
      <c r="F202" s="7"/>
      <c r="G202" s="9"/>
      <c r="H202" s="9"/>
      <c r="I202" s="9"/>
      <c r="J202" s="9"/>
      <c r="K202" s="9"/>
      <c r="L202" s="9"/>
      <c r="M202" s="9"/>
      <c r="N202" s="9"/>
      <c r="O202" s="9"/>
    </row>
    <row r="203" spans="1:15" x14ac:dyDescent="0.3">
      <c r="A203" s="5"/>
      <c r="B203" s="6"/>
      <c r="C203" s="6"/>
      <c r="D203" s="5"/>
      <c r="F203" s="7"/>
      <c r="G203" s="9"/>
      <c r="H203" s="9"/>
      <c r="I203" s="9"/>
      <c r="J203" s="9"/>
      <c r="K203" s="9"/>
      <c r="L203" s="9"/>
      <c r="M203" s="9"/>
      <c r="N203" s="9"/>
      <c r="O203" s="9"/>
    </row>
    <row r="204" spans="1:15" x14ac:dyDescent="0.3">
      <c r="A204" s="5"/>
      <c r="B204" s="6"/>
      <c r="C204" s="6"/>
      <c r="D204" s="5"/>
      <c r="F204" s="7"/>
      <c r="G204" s="9"/>
      <c r="H204" s="9"/>
      <c r="I204" s="9"/>
      <c r="J204" s="9"/>
      <c r="K204" s="9"/>
      <c r="L204" s="9"/>
      <c r="M204" s="9"/>
      <c r="N204" s="9"/>
      <c r="O204" s="9"/>
    </row>
    <row r="205" spans="1:15" x14ac:dyDescent="0.3">
      <c r="A205" s="5"/>
      <c r="B205" s="6"/>
      <c r="C205" s="6"/>
      <c r="D205" s="5"/>
      <c r="F205" s="7"/>
      <c r="G205" s="9"/>
      <c r="H205" s="9"/>
      <c r="I205" s="9"/>
      <c r="J205" s="9"/>
      <c r="K205" s="9"/>
      <c r="L205" s="9"/>
      <c r="M205" s="9"/>
      <c r="N205" s="9"/>
      <c r="O205" s="9"/>
    </row>
    <row r="206" spans="1:15" x14ac:dyDescent="0.3">
      <c r="A206" s="5"/>
      <c r="B206" s="6"/>
      <c r="C206" s="6"/>
      <c r="D206" s="5"/>
      <c r="F206" s="7"/>
      <c r="G206" s="9"/>
      <c r="H206" s="9"/>
      <c r="I206" s="9"/>
      <c r="J206" s="9"/>
      <c r="K206" s="9"/>
      <c r="L206" s="9"/>
      <c r="M206" s="9"/>
      <c r="N206" s="9"/>
      <c r="O206" s="9"/>
    </row>
    <row r="207" spans="1:15" x14ac:dyDescent="0.3">
      <c r="A207" s="5"/>
      <c r="B207" s="6"/>
      <c r="C207" s="6"/>
      <c r="D207" s="5"/>
      <c r="F207" s="7"/>
      <c r="G207" s="9"/>
      <c r="H207" s="9"/>
      <c r="I207" s="9"/>
      <c r="J207" s="9"/>
      <c r="K207" s="9"/>
      <c r="L207" s="9"/>
      <c r="M207" s="9"/>
      <c r="N207" s="9"/>
      <c r="O207" s="9"/>
    </row>
    <row r="208" spans="1:15" x14ac:dyDescent="0.3">
      <c r="A208" s="5"/>
      <c r="B208" s="6"/>
      <c r="C208" s="6"/>
      <c r="D208" s="5"/>
      <c r="F208" s="7"/>
      <c r="G208" s="9"/>
      <c r="H208" s="9"/>
      <c r="I208" s="9"/>
      <c r="J208" s="9"/>
      <c r="K208" s="9"/>
      <c r="L208" s="9"/>
      <c r="M208" s="9"/>
      <c r="N208" s="9"/>
      <c r="O208" s="9"/>
    </row>
    <row r="209" spans="1:15" x14ac:dyDescent="0.3">
      <c r="A209" s="5"/>
      <c r="B209" s="6"/>
      <c r="C209" s="6"/>
      <c r="D209" s="5"/>
      <c r="F209" s="7"/>
      <c r="G209" s="9"/>
      <c r="H209" s="9"/>
      <c r="I209" s="9"/>
      <c r="J209" s="9"/>
      <c r="K209" s="9"/>
      <c r="L209" s="9"/>
      <c r="M209" s="9"/>
      <c r="N209" s="9"/>
      <c r="O209" s="9"/>
    </row>
    <row r="210" spans="1:15" x14ac:dyDescent="0.3">
      <c r="A210" s="5"/>
      <c r="B210" s="6"/>
      <c r="C210" s="6"/>
      <c r="D210" s="5"/>
      <c r="F210" s="7"/>
      <c r="G210" s="9"/>
      <c r="H210" s="9"/>
      <c r="I210" s="9"/>
      <c r="J210" s="9"/>
      <c r="K210" s="9"/>
      <c r="L210" s="9"/>
      <c r="M210" s="9"/>
      <c r="N210" s="9"/>
      <c r="O210" s="9"/>
    </row>
    <row r="211" spans="1:15" x14ac:dyDescent="0.3">
      <c r="A211" s="5"/>
      <c r="B211" s="6"/>
      <c r="C211" s="6"/>
      <c r="D211" s="5"/>
      <c r="F211" s="7"/>
      <c r="G211" s="9"/>
      <c r="H211" s="9"/>
      <c r="I211" s="9"/>
      <c r="J211" s="9"/>
      <c r="K211" s="9"/>
      <c r="L211" s="9"/>
      <c r="M211" s="9"/>
      <c r="N211" s="9"/>
      <c r="O211" s="9"/>
    </row>
    <row r="212" spans="1:15" x14ac:dyDescent="0.3">
      <c r="A212" s="5"/>
      <c r="B212" s="6"/>
      <c r="C212" s="6"/>
      <c r="D212" s="5"/>
      <c r="F212" s="7"/>
      <c r="G212" s="9"/>
      <c r="H212" s="9"/>
      <c r="I212" s="9"/>
      <c r="J212" s="9"/>
      <c r="K212" s="9"/>
      <c r="L212" s="9"/>
      <c r="M212" s="9"/>
      <c r="N212" s="9"/>
      <c r="O212" s="9"/>
    </row>
    <row r="213" spans="1:15" x14ac:dyDescent="0.3">
      <c r="A213" s="5"/>
      <c r="B213" s="6"/>
      <c r="C213" s="6"/>
      <c r="D213" s="5"/>
      <c r="F213" s="7"/>
      <c r="G213" s="9"/>
      <c r="H213" s="9"/>
      <c r="I213" s="9"/>
      <c r="J213" s="9"/>
      <c r="K213" s="9"/>
      <c r="L213" s="9"/>
      <c r="M213" s="9"/>
      <c r="N213" s="9"/>
      <c r="O213" s="9"/>
    </row>
    <row r="214" spans="1:15" x14ac:dyDescent="0.3">
      <c r="A214" s="5"/>
      <c r="B214" s="6"/>
      <c r="C214" s="6"/>
      <c r="D214" s="5"/>
      <c r="F214" s="7"/>
      <c r="G214" s="9"/>
      <c r="H214" s="9"/>
      <c r="I214" s="9"/>
      <c r="J214" s="9"/>
      <c r="K214" s="9"/>
      <c r="L214" s="9"/>
      <c r="M214" s="9"/>
      <c r="N214" s="9"/>
      <c r="O214" s="9"/>
    </row>
    <row r="215" spans="1:15" x14ac:dyDescent="0.3">
      <c r="A215" s="5"/>
      <c r="B215" s="6"/>
      <c r="C215" s="6"/>
      <c r="D215" s="5"/>
      <c r="F215" s="7"/>
      <c r="G215" s="9"/>
      <c r="H215" s="9"/>
      <c r="I215" s="9"/>
      <c r="J215" s="9"/>
      <c r="K215" s="9"/>
      <c r="L215" s="9"/>
      <c r="M215" s="9"/>
      <c r="N215" s="9"/>
      <c r="O215" s="9"/>
    </row>
    <row r="216" spans="1:15" x14ac:dyDescent="0.3">
      <c r="A216" s="5"/>
      <c r="B216" s="6"/>
      <c r="C216" s="6"/>
      <c r="D216" s="5"/>
      <c r="F216" s="7"/>
      <c r="G216" s="9"/>
      <c r="H216" s="9"/>
      <c r="I216" s="9"/>
      <c r="J216" s="9"/>
      <c r="K216" s="9"/>
      <c r="L216" s="9"/>
      <c r="M216" s="9"/>
      <c r="N216" s="9"/>
      <c r="O216" s="9"/>
    </row>
    <row r="217" spans="1:15" x14ac:dyDescent="0.3">
      <c r="A217" s="5"/>
      <c r="B217" s="6"/>
      <c r="C217" s="6"/>
      <c r="D217" s="5"/>
      <c r="F217" s="7"/>
      <c r="G217" s="9"/>
      <c r="H217" s="9"/>
      <c r="I217" s="9"/>
      <c r="J217" s="9"/>
      <c r="K217" s="9"/>
      <c r="L217" s="9"/>
      <c r="M217" s="9"/>
      <c r="N217" s="9"/>
      <c r="O217" s="9"/>
    </row>
    <row r="218" spans="1:15" x14ac:dyDescent="0.3">
      <c r="A218" s="5"/>
      <c r="B218" s="6"/>
      <c r="C218" s="6"/>
      <c r="D218" s="5"/>
      <c r="F218" s="7"/>
      <c r="G218" s="9"/>
      <c r="H218" s="9"/>
      <c r="I218" s="9"/>
      <c r="J218" s="9"/>
      <c r="K218" s="9"/>
      <c r="L218" s="9"/>
      <c r="M218" s="9"/>
      <c r="N218" s="9"/>
      <c r="O218" s="9"/>
    </row>
    <row r="219" spans="1:15" x14ac:dyDescent="0.3">
      <c r="A219" s="5"/>
      <c r="B219" s="6"/>
      <c r="C219" s="6"/>
      <c r="D219" s="5"/>
      <c r="F219" s="7"/>
      <c r="G219" s="9"/>
      <c r="H219" s="9"/>
      <c r="I219" s="9"/>
      <c r="J219" s="9"/>
      <c r="K219" s="9"/>
      <c r="L219" s="9"/>
      <c r="M219" s="9"/>
      <c r="N219" s="9"/>
      <c r="O219" s="9"/>
    </row>
    <row r="220" spans="1:15" x14ac:dyDescent="0.3">
      <c r="A220" s="5"/>
      <c r="B220" s="6"/>
      <c r="C220" s="6"/>
      <c r="D220" s="5"/>
      <c r="F220" s="7"/>
      <c r="G220" s="9"/>
      <c r="H220" s="9"/>
      <c r="I220" s="9"/>
      <c r="J220" s="9"/>
      <c r="K220" s="9"/>
      <c r="L220" s="9"/>
      <c r="M220" s="9"/>
      <c r="N220" s="9"/>
      <c r="O220" s="9"/>
    </row>
    <row r="221" spans="1:15" x14ac:dyDescent="0.3">
      <c r="A221" s="5"/>
      <c r="B221" s="6"/>
      <c r="C221" s="6"/>
      <c r="D221" s="5"/>
      <c r="F221" s="7"/>
      <c r="G221" s="9"/>
      <c r="H221" s="9"/>
      <c r="I221" s="9"/>
      <c r="J221" s="9"/>
      <c r="K221" s="9"/>
      <c r="L221" s="9"/>
      <c r="M221" s="9"/>
      <c r="N221" s="9"/>
      <c r="O221" s="9"/>
    </row>
    <row r="222" spans="1:15" x14ac:dyDescent="0.3">
      <c r="A222" s="5"/>
      <c r="B222" s="6"/>
      <c r="C222" s="6"/>
      <c r="D222" s="5"/>
      <c r="F222" s="7"/>
      <c r="G222" s="9"/>
      <c r="H222" s="9"/>
      <c r="I222" s="9"/>
      <c r="J222" s="9"/>
      <c r="K222" s="9"/>
      <c r="L222" s="9"/>
      <c r="M222" s="9"/>
      <c r="N222" s="9"/>
      <c r="O222" s="9"/>
    </row>
    <row r="223" spans="1:15" x14ac:dyDescent="0.3">
      <c r="A223" s="5"/>
      <c r="B223" s="6"/>
      <c r="C223" s="6"/>
      <c r="D223" s="5"/>
      <c r="F223" s="7"/>
      <c r="G223" s="9"/>
      <c r="H223" s="9"/>
      <c r="I223" s="9"/>
      <c r="J223" s="9"/>
      <c r="K223" s="9"/>
      <c r="L223" s="9"/>
      <c r="M223" s="9"/>
      <c r="N223" s="9"/>
      <c r="O223" s="9"/>
    </row>
    <row r="224" spans="1:15" x14ac:dyDescent="0.3">
      <c r="A224" s="5"/>
      <c r="B224" s="6"/>
      <c r="C224" s="6"/>
      <c r="D224" s="5"/>
      <c r="F224" s="7"/>
      <c r="G224" s="9"/>
      <c r="H224" s="9"/>
      <c r="I224" s="9"/>
      <c r="J224" s="9"/>
      <c r="K224" s="9"/>
      <c r="L224" s="9"/>
      <c r="M224" s="9"/>
      <c r="N224" s="9"/>
      <c r="O224" s="9"/>
    </row>
    <row r="225" spans="1:15" x14ac:dyDescent="0.3">
      <c r="A225" s="5"/>
      <c r="B225" s="6"/>
      <c r="C225" s="6"/>
      <c r="D225" s="5"/>
      <c r="F225" s="7"/>
      <c r="G225" s="9"/>
      <c r="H225" s="9"/>
      <c r="I225" s="9"/>
      <c r="J225" s="9"/>
      <c r="K225" s="9"/>
      <c r="L225" s="9"/>
      <c r="M225" s="9"/>
      <c r="N225" s="9"/>
      <c r="O225" s="9"/>
    </row>
    <row r="226" spans="1:15" x14ac:dyDescent="0.3">
      <c r="A226" s="5"/>
      <c r="B226" s="6"/>
      <c r="C226" s="6"/>
      <c r="D226" s="5"/>
      <c r="F226" s="7"/>
      <c r="G226" s="9"/>
      <c r="H226" s="9"/>
      <c r="I226" s="9"/>
      <c r="J226" s="9"/>
      <c r="K226" s="9"/>
      <c r="L226" s="9"/>
      <c r="M226" s="9"/>
      <c r="N226" s="9"/>
      <c r="O226" s="9"/>
    </row>
    <row r="227" spans="1:15" x14ac:dyDescent="0.3">
      <c r="A227" s="5"/>
      <c r="B227" s="6"/>
      <c r="C227" s="6"/>
      <c r="D227" s="5"/>
      <c r="F227" s="7"/>
      <c r="G227" s="9"/>
      <c r="H227" s="9"/>
      <c r="I227" s="9"/>
      <c r="J227" s="9"/>
      <c r="K227" s="9"/>
      <c r="L227" s="9"/>
      <c r="M227" s="9"/>
      <c r="N227" s="9"/>
      <c r="O227" s="9"/>
    </row>
    <row r="228" spans="1:15" x14ac:dyDescent="0.3">
      <c r="A228" s="5"/>
      <c r="B228" s="6"/>
      <c r="C228" s="6"/>
      <c r="D228" s="5"/>
      <c r="F228" s="7"/>
      <c r="G228" s="9"/>
      <c r="H228" s="9"/>
      <c r="I228" s="9"/>
      <c r="J228" s="9"/>
      <c r="K228" s="9"/>
      <c r="L228" s="9"/>
      <c r="M228" s="9"/>
      <c r="N228" s="9"/>
      <c r="O228" s="9"/>
    </row>
    <row r="229" spans="1:15" x14ac:dyDescent="0.3">
      <c r="A229" s="5"/>
      <c r="B229" s="6"/>
      <c r="C229" s="6"/>
      <c r="D229" s="5"/>
      <c r="F229" s="7"/>
      <c r="G229" s="9"/>
      <c r="H229" s="9"/>
      <c r="I229" s="9"/>
      <c r="J229" s="9"/>
      <c r="K229" s="9"/>
      <c r="L229" s="9"/>
      <c r="M229" s="9"/>
      <c r="N229" s="9"/>
      <c r="O229" s="9"/>
    </row>
    <row r="230" spans="1:15" x14ac:dyDescent="0.3">
      <c r="A230" s="5"/>
      <c r="B230" s="6"/>
      <c r="C230" s="6"/>
      <c r="D230" s="5"/>
      <c r="F230" s="7"/>
      <c r="G230" s="9"/>
      <c r="H230" s="9"/>
      <c r="I230" s="9"/>
      <c r="J230" s="9"/>
      <c r="K230" s="9"/>
      <c r="L230" s="9"/>
      <c r="M230" s="9"/>
      <c r="N230" s="9"/>
      <c r="O230" s="9"/>
    </row>
    <row r="231" spans="1:15" x14ac:dyDescent="0.3">
      <c r="A231" s="5"/>
      <c r="B231" s="6"/>
      <c r="C231" s="6"/>
      <c r="D231" s="5"/>
      <c r="F231" s="7"/>
      <c r="G231" s="9"/>
      <c r="H231" s="9"/>
      <c r="I231" s="9"/>
      <c r="J231" s="9"/>
      <c r="K231" s="9"/>
      <c r="L231" s="9"/>
      <c r="M231" s="9"/>
      <c r="N231" s="9"/>
      <c r="O231" s="9"/>
    </row>
    <row r="232" spans="1:15" x14ac:dyDescent="0.3">
      <c r="A232" s="5"/>
      <c r="B232" s="6"/>
      <c r="C232" s="6"/>
      <c r="D232" s="5"/>
      <c r="F232" s="7"/>
      <c r="G232" s="9"/>
      <c r="H232" s="9"/>
      <c r="I232" s="9"/>
      <c r="J232" s="9"/>
      <c r="K232" s="9"/>
      <c r="L232" s="9"/>
      <c r="M232" s="9"/>
      <c r="N232" s="9"/>
      <c r="O232" s="9"/>
    </row>
    <row r="233" spans="1:15" x14ac:dyDescent="0.3">
      <c r="A233" s="5"/>
      <c r="B233" s="6"/>
      <c r="C233" s="6"/>
      <c r="D233" s="5"/>
      <c r="F233" s="7"/>
      <c r="G233" s="9"/>
      <c r="H233" s="9"/>
      <c r="I233" s="9"/>
      <c r="J233" s="9"/>
      <c r="K233" s="9"/>
      <c r="L233" s="9"/>
      <c r="M233" s="9"/>
      <c r="N233" s="9"/>
      <c r="O233" s="9"/>
    </row>
    <row r="234" spans="1:15" x14ac:dyDescent="0.3">
      <c r="A234" s="5"/>
      <c r="B234" s="6"/>
      <c r="C234" s="6"/>
      <c r="D234" s="5"/>
      <c r="F234" s="7"/>
      <c r="G234" s="9"/>
      <c r="H234" s="9"/>
      <c r="I234" s="9"/>
      <c r="J234" s="9"/>
      <c r="K234" s="9"/>
      <c r="L234" s="9"/>
      <c r="M234" s="9"/>
      <c r="N234" s="9"/>
      <c r="O234" s="9"/>
    </row>
    <row r="235" spans="1:15" x14ac:dyDescent="0.3">
      <c r="A235" s="5"/>
      <c r="B235" s="6"/>
      <c r="C235" s="6"/>
      <c r="D235" s="5"/>
      <c r="F235" s="7"/>
      <c r="G235" s="9"/>
      <c r="H235" s="9"/>
      <c r="I235" s="9"/>
      <c r="J235" s="9"/>
      <c r="K235" s="9"/>
      <c r="L235" s="9"/>
      <c r="M235" s="9"/>
      <c r="N235" s="9"/>
      <c r="O235" s="9"/>
    </row>
    <row r="236" spans="1:15" x14ac:dyDescent="0.3">
      <c r="A236" s="5"/>
      <c r="B236" s="6"/>
      <c r="C236" s="6"/>
      <c r="D236" s="5"/>
      <c r="F236" s="7"/>
      <c r="G236" s="9"/>
      <c r="H236" s="9"/>
      <c r="I236" s="9"/>
      <c r="J236" s="9"/>
      <c r="K236" s="9"/>
      <c r="L236" s="9"/>
      <c r="M236" s="9"/>
      <c r="N236" s="9"/>
      <c r="O236" s="9"/>
    </row>
    <row r="237" spans="1:15" x14ac:dyDescent="0.3">
      <c r="A237" s="5"/>
      <c r="B237" s="6"/>
      <c r="C237" s="6"/>
      <c r="D237" s="5"/>
      <c r="F237" s="7"/>
      <c r="G237" s="9"/>
      <c r="H237" s="9"/>
      <c r="I237" s="9"/>
      <c r="J237" s="9"/>
      <c r="K237" s="9"/>
      <c r="L237" s="9"/>
      <c r="M237" s="9"/>
      <c r="N237" s="9"/>
      <c r="O237" s="9"/>
    </row>
    <row r="238" spans="1:15" x14ac:dyDescent="0.3">
      <c r="A238" s="5"/>
      <c r="B238" s="6"/>
      <c r="C238" s="6"/>
      <c r="D238" s="5"/>
      <c r="F238" s="7"/>
      <c r="G238" s="9"/>
      <c r="H238" s="9"/>
      <c r="I238" s="9"/>
      <c r="J238" s="9"/>
      <c r="K238" s="9"/>
      <c r="L238" s="9"/>
      <c r="M238" s="9"/>
      <c r="N238" s="9"/>
      <c r="O238" s="9"/>
    </row>
    <row r="239" spans="1:15" x14ac:dyDescent="0.3">
      <c r="A239" s="5"/>
      <c r="B239" s="6"/>
      <c r="C239" s="6"/>
      <c r="D239" s="5"/>
      <c r="F239" s="7"/>
      <c r="G239" s="9"/>
      <c r="H239" s="9"/>
      <c r="I239" s="9"/>
      <c r="J239" s="9"/>
      <c r="K239" s="9"/>
      <c r="L239" s="9"/>
      <c r="M239" s="9"/>
      <c r="N239" s="9"/>
      <c r="O239" s="9"/>
    </row>
    <row r="240" spans="1:15" x14ac:dyDescent="0.3">
      <c r="A240" s="5"/>
      <c r="B240" s="6"/>
      <c r="C240" s="6"/>
      <c r="D240" s="5"/>
      <c r="F240" s="7"/>
      <c r="G240" s="9"/>
      <c r="H240" s="9"/>
      <c r="I240" s="9"/>
      <c r="J240" s="9"/>
      <c r="K240" s="9"/>
      <c r="L240" s="9"/>
      <c r="M240" s="9"/>
      <c r="N240" s="9"/>
      <c r="O240" s="9"/>
    </row>
    <row r="241" spans="1:15" x14ac:dyDescent="0.3">
      <c r="A241" s="5"/>
      <c r="B241" s="6"/>
      <c r="C241" s="6"/>
      <c r="D241" s="5"/>
      <c r="F241" s="7"/>
      <c r="G241" s="9"/>
      <c r="H241" s="9"/>
      <c r="I241" s="9"/>
      <c r="J241" s="9"/>
      <c r="K241" s="9"/>
      <c r="L241" s="9"/>
      <c r="M241" s="9"/>
      <c r="N241" s="9"/>
      <c r="O241" s="9"/>
    </row>
    <row r="242" spans="1:15" x14ac:dyDescent="0.3">
      <c r="A242" s="5"/>
      <c r="B242" s="6"/>
      <c r="C242" s="6"/>
      <c r="D242" s="5"/>
      <c r="F242" s="7"/>
      <c r="G242" s="9"/>
      <c r="H242" s="9"/>
      <c r="I242" s="9"/>
      <c r="J242" s="9"/>
      <c r="K242" s="9"/>
      <c r="L242" s="9"/>
      <c r="M242" s="9"/>
      <c r="N242" s="9"/>
      <c r="O242" s="9"/>
    </row>
    <row r="243" spans="1:15" x14ac:dyDescent="0.3">
      <c r="A243" s="5"/>
      <c r="B243" s="6"/>
      <c r="C243" s="6"/>
      <c r="D243" s="5"/>
      <c r="F243" s="7"/>
      <c r="G243" s="9"/>
      <c r="H243" s="9"/>
      <c r="I243" s="9"/>
      <c r="J243" s="9"/>
      <c r="K243" s="9"/>
      <c r="L243" s="9"/>
      <c r="M243" s="9"/>
      <c r="N243" s="9"/>
      <c r="O243" s="9"/>
    </row>
    <row r="244" spans="1:15" x14ac:dyDescent="0.3">
      <c r="A244" s="5"/>
      <c r="B244" s="6"/>
      <c r="C244" s="6"/>
      <c r="D244" s="5"/>
      <c r="F244" s="7"/>
      <c r="G244" s="9"/>
      <c r="H244" s="9"/>
      <c r="I244" s="9"/>
      <c r="J244" s="9"/>
      <c r="K244" s="9"/>
      <c r="L244" s="9"/>
      <c r="M244" s="9"/>
      <c r="N244" s="9"/>
      <c r="O244" s="9"/>
    </row>
    <row r="245" spans="1:15" x14ac:dyDescent="0.3">
      <c r="A245" s="5"/>
      <c r="B245" s="6"/>
      <c r="C245" s="6"/>
      <c r="D245" s="5"/>
      <c r="F245" s="7"/>
      <c r="G245" s="9"/>
      <c r="H245" s="9"/>
      <c r="I245" s="9"/>
      <c r="J245" s="9"/>
      <c r="K245" s="9"/>
      <c r="L245" s="9"/>
      <c r="M245" s="9"/>
      <c r="N245" s="9"/>
      <c r="O245" s="9"/>
    </row>
    <row r="246" spans="1:15" x14ac:dyDescent="0.3">
      <c r="A246" s="5"/>
      <c r="B246" s="6"/>
      <c r="C246" s="6"/>
      <c r="D246" s="5"/>
      <c r="F246" s="7"/>
      <c r="G246" s="9"/>
      <c r="H246" s="9"/>
      <c r="I246" s="9"/>
      <c r="J246" s="9"/>
      <c r="K246" s="9"/>
      <c r="L246" s="9"/>
      <c r="M246" s="9"/>
      <c r="N246" s="9"/>
      <c r="O246" s="9"/>
    </row>
    <row r="247" spans="1:15" x14ac:dyDescent="0.3">
      <c r="A247" s="5"/>
      <c r="B247" s="6"/>
      <c r="C247" s="6"/>
      <c r="D247" s="5"/>
      <c r="F247" s="7"/>
      <c r="G247" s="9"/>
      <c r="H247" s="9"/>
      <c r="I247" s="9"/>
      <c r="J247" s="9"/>
      <c r="K247" s="9"/>
      <c r="L247" s="9"/>
      <c r="M247" s="9"/>
      <c r="N247" s="9"/>
      <c r="O247" s="9"/>
    </row>
    <row r="248" spans="1:15" x14ac:dyDescent="0.3">
      <c r="A248" s="5"/>
      <c r="B248" s="6"/>
      <c r="C248" s="6"/>
      <c r="D248" s="5"/>
      <c r="F248" s="7"/>
      <c r="G248" s="9"/>
      <c r="H248" s="9"/>
      <c r="I248" s="9"/>
      <c r="J248" s="9"/>
      <c r="K248" s="9"/>
      <c r="L248" s="9"/>
      <c r="M248" s="9"/>
      <c r="N248" s="9"/>
      <c r="O248" s="9"/>
    </row>
    <row r="249" spans="1:15" x14ac:dyDescent="0.3">
      <c r="A249" s="5"/>
      <c r="B249" s="6"/>
      <c r="C249" s="6"/>
      <c r="D249" s="5"/>
      <c r="F249" s="7"/>
      <c r="G249" s="9"/>
      <c r="H249" s="9"/>
      <c r="I249" s="9"/>
      <c r="J249" s="9"/>
      <c r="K249" s="9"/>
      <c r="L249" s="9"/>
      <c r="M249" s="9"/>
      <c r="N249" s="9"/>
      <c r="O249" s="9"/>
    </row>
    <row r="250" spans="1:15" x14ac:dyDescent="0.3">
      <c r="A250" s="5"/>
      <c r="B250" s="6"/>
      <c r="C250" s="6"/>
      <c r="D250" s="5"/>
      <c r="F250" s="7"/>
      <c r="G250" s="9"/>
      <c r="H250" s="9"/>
      <c r="I250" s="9"/>
      <c r="J250" s="9"/>
      <c r="K250" s="9"/>
      <c r="L250" s="9"/>
      <c r="M250" s="9"/>
      <c r="N250" s="9"/>
      <c r="O250" s="9"/>
    </row>
    <row r="251" spans="1:15" x14ac:dyDescent="0.3">
      <c r="A251" s="5"/>
      <c r="B251" s="6"/>
      <c r="C251" s="6"/>
      <c r="D251" s="5"/>
      <c r="F251" s="7"/>
      <c r="G251" s="9"/>
      <c r="H251" s="9"/>
      <c r="I251" s="9"/>
      <c r="J251" s="9"/>
      <c r="K251" s="9"/>
      <c r="L251" s="9"/>
      <c r="M251" s="9"/>
      <c r="N251" s="9"/>
      <c r="O251" s="9"/>
    </row>
    <row r="252" spans="1:15" x14ac:dyDescent="0.3">
      <c r="A252" s="5"/>
      <c r="B252" s="6"/>
      <c r="C252" s="6"/>
      <c r="D252" s="5"/>
      <c r="F252" s="7"/>
      <c r="G252" s="9"/>
      <c r="H252" s="9"/>
      <c r="I252" s="9"/>
      <c r="J252" s="9"/>
      <c r="K252" s="9"/>
      <c r="L252" s="9"/>
      <c r="M252" s="9"/>
      <c r="N252" s="9"/>
      <c r="O252" s="9"/>
    </row>
    <row r="253" spans="1:15" x14ac:dyDescent="0.3">
      <c r="A253" s="5"/>
      <c r="B253" s="6"/>
      <c r="C253" s="6"/>
      <c r="D253" s="5"/>
      <c r="F253" s="7"/>
      <c r="G253" s="9"/>
      <c r="H253" s="9"/>
      <c r="I253" s="9"/>
      <c r="J253" s="9"/>
      <c r="K253" s="9"/>
      <c r="L253" s="9"/>
      <c r="M253" s="9"/>
      <c r="N253" s="9"/>
      <c r="O253" s="9"/>
    </row>
    <row r="254" spans="1:15" x14ac:dyDescent="0.3">
      <c r="A254" s="5"/>
      <c r="B254" s="6"/>
      <c r="C254" s="6"/>
      <c r="D254" s="5"/>
      <c r="F254" s="7"/>
      <c r="G254" s="9"/>
      <c r="H254" s="9"/>
      <c r="I254" s="9"/>
      <c r="J254" s="9"/>
      <c r="K254" s="9"/>
      <c r="L254" s="9"/>
      <c r="M254" s="9"/>
      <c r="N254" s="9"/>
      <c r="O254" s="9"/>
    </row>
    <row r="255" spans="1:15" x14ac:dyDescent="0.3">
      <c r="A255" s="5"/>
      <c r="B255" s="6"/>
      <c r="C255" s="6"/>
      <c r="D255" s="5"/>
      <c r="F255" s="7"/>
      <c r="G255" s="9"/>
      <c r="H255" s="9"/>
      <c r="I255" s="9"/>
      <c r="J255" s="9"/>
      <c r="K255" s="9"/>
      <c r="L255" s="9"/>
      <c r="M255" s="9"/>
      <c r="N255" s="9"/>
      <c r="O255" s="9"/>
    </row>
    <row r="256" spans="1:15" x14ac:dyDescent="0.3">
      <c r="A256" s="5"/>
      <c r="B256" s="6"/>
      <c r="C256" s="6"/>
      <c r="D256" s="5"/>
      <c r="F256" s="7"/>
      <c r="G256" s="9"/>
      <c r="H256" s="9"/>
      <c r="I256" s="9"/>
      <c r="J256" s="9"/>
      <c r="K256" s="9"/>
      <c r="L256" s="9"/>
      <c r="M256" s="9"/>
      <c r="N256" s="9"/>
      <c r="O256" s="9"/>
    </row>
    <row r="257" spans="1:15" x14ac:dyDescent="0.3">
      <c r="A257" s="5"/>
      <c r="B257" s="6"/>
      <c r="C257" s="6"/>
      <c r="D257" s="5"/>
      <c r="F257" s="7"/>
      <c r="G257" s="9"/>
      <c r="H257" s="9"/>
      <c r="I257" s="9"/>
      <c r="J257" s="9"/>
      <c r="K257" s="9"/>
      <c r="L257" s="9"/>
      <c r="M257" s="9"/>
      <c r="N257" s="9"/>
      <c r="O257" s="9"/>
    </row>
    <row r="258" spans="1:15" x14ac:dyDescent="0.3">
      <c r="A258" s="5"/>
      <c r="B258" s="6"/>
      <c r="C258" s="6"/>
      <c r="D258" s="5"/>
      <c r="F258" s="7"/>
      <c r="G258" s="9"/>
      <c r="H258" s="9"/>
      <c r="I258" s="9"/>
      <c r="J258" s="9"/>
      <c r="K258" s="9"/>
      <c r="L258" s="9"/>
      <c r="M258" s="9"/>
      <c r="N258" s="9"/>
      <c r="O258" s="9"/>
    </row>
    <row r="259" spans="1:15" x14ac:dyDescent="0.3">
      <c r="A259" s="5"/>
      <c r="B259" s="6"/>
      <c r="C259" s="6"/>
      <c r="D259" s="5"/>
      <c r="F259" s="7"/>
      <c r="G259" s="9"/>
      <c r="H259" s="9"/>
      <c r="I259" s="9"/>
      <c r="J259" s="9"/>
      <c r="K259" s="9"/>
      <c r="L259" s="9"/>
      <c r="M259" s="9"/>
      <c r="N259" s="9"/>
      <c r="O259" s="9"/>
    </row>
    <row r="260" spans="1:15" x14ac:dyDescent="0.3">
      <c r="A260" s="5"/>
      <c r="B260" s="6"/>
      <c r="C260" s="6"/>
      <c r="D260" s="5"/>
      <c r="F260" s="7"/>
      <c r="G260" s="9"/>
      <c r="H260" s="9"/>
      <c r="I260" s="9"/>
      <c r="J260" s="9"/>
      <c r="K260" s="9"/>
      <c r="L260" s="9"/>
      <c r="M260" s="9"/>
      <c r="N260" s="9"/>
      <c r="O260" s="9"/>
    </row>
    <row r="261" spans="1:15" x14ac:dyDescent="0.3">
      <c r="A261" s="5"/>
      <c r="B261" s="6"/>
      <c r="C261" s="6"/>
      <c r="D261" s="5"/>
      <c r="F261" s="7"/>
      <c r="G261" s="9"/>
      <c r="H261" s="9"/>
      <c r="I261" s="9"/>
      <c r="J261" s="9"/>
      <c r="K261" s="9"/>
      <c r="L261" s="9"/>
      <c r="M261" s="9"/>
      <c r="N261" s="9"/>
      <c r="O261" s="9"/>
    </row>
    <row r="262" spans="1:15" x14ac:dyDescent="0.3">
      <c r="A262" s="5"/>
      <c r="B262" s="6"/>
      <c r="C262" s="6"/>
      <c r="D262" s="5"/>
      <c r="F262" s="7"/>
      <c r="G262" s="9"/>
      <c r="H262" s="9"/>
      <c r="I262" s="9"/>
      <c r="J262" s="9"/>
      <c r="K262" s="9"/>
      <c r="L262" s="9"/>
      <c r="M262" s="9"/>
      <c r="N262" s="9"/>
      <c r="O262" s="9"/>
    </row>
    <row r="263" spans="1:15" x14ac:dyDescent="0.3">
      <c r="A263" s="5"/>
      <c r="B263" s="6"/>
      <c r="C263" s="6"/>
      <c r="D263" s="5"/>
      <c r="F263" s="7"/>
      <c r="G263" s="9"/>
      <c r="H263" s="9"/>
      <c r="I263" s="9"/>
      <c r="J263" s="9"/>
      <c r="K263" s="9"/>
      <c r="L263" s="9"/>
      <c r="M263" s="9"/>
      <c r="N263" s="9"/>
      <c r="O263" s="9"/>
    </row>
    <row r="264" spans="1:15" x14ac:dyDescent="0.3">
      <c r="A264" s="5"/>
      <c r="B264" s="6"/>
      <c r="C264" s="6"/>
      <c r="D264" s="5"/>
      <c r="F264" s="7"/>
      <c r="G264" s="9"/>
      <c r="H264" s="9"/>
      <c r="I264" s="9"/>
      <c r="J264" s="9"/>
      <c r="K264" s="9"/>
      <c r="L264" s="9"/>
      <c r="M264" s="9"/>
      <c r="N264" s="9"/>
      <c r="O264" s="9"/>
    </row>
    <row r="265" spans="1:15" x14ac:dyDescent="0.3">
      <c r="A265" s="5"/>
      <c r="B265" s="6"/>
      <c r="C265" s="6"/>
      <c r="D265" s="5"/>
      <c r="F265" s="7"/>
      <c r="G265" s="9"/>
      <c r="H265" s="9"/>
      <c r="I265" s="9"/>
      <c r="J265" s="9"/>
      <c r="K265" s="9"/>
      <c r="L265" s="9"/>
      <c r="M265" s="9"/>
      <c r="N265" s="9"/>
      <c r="O265" s="9"/>
    </row>
  </sheetData>
  <conditionalFormatting sqref="G2:N15 G16:M21 G22:N86">
    <cfRule type="cellIs" dxfId="2" priority="2" operator="equal">
      <formula>"N/A"</formula>
    </cfRule>
  </conditionalFormatting>
  <conditionalFormatting sqref="K91:O96">
    <cfRule type="cellIs" dxfId="1" priority="1" operator="equal">
      <formula>"N/A"</formula>
    </cfRule>
  </conditionalFormatting>
  <conditionalFormatting sqref="O13 O35:O90 K87:N90 G97:O265">
    <cfRule type="cellIs" dxfId="0" priority="3" operator="equal">
      <formula>"N/A"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Medie Giuria2019_Q</vt:lpstr>
      <vt:lpstr>Medie Giuria2021_Q</vt:lpstr>
      <vt:lpstr>Medie Giuria2020_Q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Aprea, Eugenio</dc:creator>
  <cp:lastModifiedBy>Aprea, Eugenio</cp:lastModifiedBy>
  <dcterms:created xsi:type="dcterms:W3CDTF">2025-02-01T17:08:45Z</dcterms:created>
  <dcterms:modified xsi:type="dcterms:W3CDTF">2025-02-02T16:46:06Z</dcterms:modified>
</cp:coreProperties>
</file>